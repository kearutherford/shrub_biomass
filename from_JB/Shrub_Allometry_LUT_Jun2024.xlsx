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externalLinks/externalLink1.xml" ContentType="application/vnd.openxmlformats-officedocument.spreadsheetml.externalLink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227"/>
  <workbookPr/>
  <mc:AlternateContent xmlns:mc="http://schemas.openxmlformats.org/markup-compatibility/2006">
    <mc:Choice Requires="x15">
      <x15ac:absPath xmlns:x15ac="http://schemas.microsoft.com/office/spreadsheetml/2010/11/ac" url="C:\Users\battl\Dropbox\Shrub allometry\Data\"/>
    </mc:Choice>
  </mc:AlternateContent>
  <xr:revisionPtr revIDLastSave="0" documentId="8_{88DCE10B-D849-4B12-9943-9F716D7D4D87}" xr6:coauthVersionLast="47" xr6:coauthVersionMax="47" xr10:uidLastSave="{00000000-0000-0000-0000-000000000000}"/>
  <bookViews>
    <workbookView xWindow="-110" yWindow="-110" windowWidth="19420" windowHeight="11500" activeTab="2" xr2:uid="{00000000-000D-0000-FFFF-FFFF00000000}"/>
  </bookViews>
  <sheets>
    <sheet name="PVT" sheetId="5" r:id="rId1"/>
    <sheet name="Species list " sheetId="2" r:id="rId2"/>
    <sheet name="Spp_LUT" sheetId="6" r:id="rId3"/>
    <sheet name="NODE data" sheetId="7" r:id="rId4"/>
    <sheet name="Site list" sheetId="3" r:id="rId5"/>
    <sheet name="Site codes" sheetId="4" r:id="rId6"/>
  </sheets>
  <externalReferences>
    <externalReference r:id="rId7"/>
  </externalReferences>
  <calcPr calcId="191029"/>
  <pivotCaches>
    <pivotCache cacheId="0" r:id="rId8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K38" i="2" l="1"/>
  <c r="I38" i="2"/>
  <c r="G38" i="2"/>
  <c r="B21" i="6"/>
  <c r="C21" i="6" s="1"/>
  <c r="B3" i="6" l="1"/>
  <c r="C3" i="6" s="1"/>
  <c r="B4" i="6"/>
  <c r="C4" i="6" s="1"/>
  <c r="B6" i="6"/>
  <c r="C6" i="6" s="1"/>
  <c r="B8" i="6"/>
  <c r="B9" i="6"/>
  <c r="C9" i="6" s="1"/>
  <c r="B10" i="6"/>
  <c r="C10" i="6" s="1"/>
  <c r="B11" i="6"/>
  <c r="C11" i="6" s="1"/>
  <c r="B12" i="6"/>
  <c r="C12" i="6" s="1"/>
  <c r="B13" i="6"/>
  <c r="C13" i="6" s="1"/>
  <c r="B14" i="6"/>
  <c r="C14" i="6" s="1"/>
  <c r="B15" i="6"/>
  <c r="C15" i="6" s="1"/>
  <c r="B16" i="6"/>
  <c r="C16" i="6" s="1"/>
  <c r="B17" i="6"/>
  <c r="C17" i="6" s="1"/>
  <c r="B18" i="6"/>
  <c r="C18" i="6" s="1"/>
  <c r="B19" i="6"/>
  <c r="C19" i="6" s="1"/>
  <c r="B20" i="6"/>
  <c r="C20" i="6" s="1"/>
  <c r="B22" i="6"/>
  <c r="C22" i="6" s="1"/>
  <c r="B23" i="6"/>
  <c r="C23" i="6" s="1"/>
  <c r="B24" i="6"/>
  <c r="C24" i="6" s="1"/>
  <c r="B25" i="6"/>
  <c r="C25" i="6" s="1"/>
  <c r="B26" i="6"/>
  <c r="B27" i="6"/>
  <c r="B32" i="6"/>
  <c r="B33" i="6"/>
  <c r="C33" i="6" s="1"/>
  <c r="B34" i="6"/>
  <c r="C34" i="6" s="1"/>
  <c r="B35" i="6"/>
  <c r="C35" i="6" s="1"/>
  <c r="B36" i="6"/>
  <c r="B2" i="6"/>
  <c r="C2" i="6" s="1"/>
  <c r="L15" i="2" l="1"/>
  <c r="J15" i="2"/>
  <c r="H15" i="2"/>
  <c r="L11" i="2"/>
  <c r="J11" i="2"/>
  <c r="H11" i="2"/>
  <c r="L9" i="2"/>
  <c r="J9" i="2"/>
  <c r="H9" i="2"/>
  <c r="L6" i="2"/>
  <c r="L38" i="2" s="1"/>
  <c r="J6" i="2"/>
  <c r="J38" i="2" s="1"/>
  <c r="H6" i="2"/>
  <c r="H38" i="2" s="1"/>
  <c r="L5" i="2"/>
  <c r="J5" i="2"/>
  <c r="H5" i="2"/>
  <c r="L4" i="2"/>
  <c r="J4" i="2"/>
  <c r="H4" i="2"/>
  <c r="J3" i="2"/>
  <c r="L3" i="2"/>
</calcChain>
</file>

<file path=xl/sharedStrings.xml><?xml version="1.0" encoding="utf-8"?>
<sst xmlns="http://schemas.openxmlformats.org/spreadsheetml/2006/main" count="497" uniqueCount="209">
  <si>
    <t>Likely species</t>
  </si>
  <si>
    <t>ARPA</t>
  </si>
  <si>
    <t>ARVI</t>
  </si>
  <si>
    <t>CECO</t>
  </si>
  <si>
    <t>CEFR</t>
  </si>
  <si>
    <t>CEIN</t>
  </si>
  <si>
    <t>CEPI</t>
  </si>
  <si>
    <t>CHFO</t>
  </si>
  <si>
    <t>CHNA</t>
  </si>
  <si>
    <t>CHPA</t>
  </si>
  <si>
    <t>CHSE</t>
  </si>
  <si>
    <t>CONU</t>
  </si>
  <si>
    <t>ERCA</t>
  </si>
  <si>
    <t>HEAR</t>
  </si>
  <si>
    <t>NALO</t>
  </si>
  <si>
    <t>PREM</t>
  </si>
  <si>
    <t>PUTR</t>
  </si>
  <si>
    <t>QUCH</t>
  </si>
  <si>
    <t>QUKE</t>
  </si>
  <si>
    <t>QUVA</t>
  </si>
  <si>
    <t>QUWI</t>
  </si>
  <si>
    <t>RISP</t>
  </si>
  <si>
    <t>SAEA</t>
  </si>
  <si>
    <t>SYMP</t>
  </si>
  <si>
    <t>TODI</t>
  </si>
  <si>
    <t>Arctostaphylos patula</t>
  </si>
  <si>
    <t>Arctostaphylos viscida</t>
  </si>
  <si>
    <t>Ceanothus cordulatus </t>
  </si>
  <si>
    <t>Ceanothus fresnensis</t>
  </si>
  <si>
    <t>Ceanothus integerrimus</t>
  </si>
  <si>
    <t>Ceanothus pinetorum</t>
  </si>
  <si>
    <t>Chamaebatia fotiolosa</t>
  </si>
  <si>
    <t>Chrysothamnus nauseosus</t>
  </si>
  <si>
    <t>Chrysothamnus parryi</t>
  </si>
  <si>
    <t>Chrysolepis sempervirens</t>
  </si>
  <si>
    <t>Eriodictyon californicum</t>
  </si>
  <si>
    <t>Heteromeles arbutifolia</t>
  </si>
  <si>
    <t>Prunus emarginata</t>
  </si>
  <si>
    <t>Purshia tridentata</t>
  </si>
  <si>
    <t>Quercus chrysolepis</t>
  </si>
  <si>
    <t>Quercus kelloggii</t>
  </si>
  <si>
    <t xml:space="preserve">Quercus wislizenii </t>
  </si>
  <si>
    <t>Symphoricarpos mollis</t>
  </si>
  <si>
    <t>Common name</t>
  </si>
  <si>
    <t>greenleaf manzanita</t>
  </si>
  <si>
    <t>whiteleaf manzanita</t>
  </si>
  <si>
    <t>whitethorn</t>
  </si>
  <si>
    <t>Fresno ceanothus</t>
  </si>
  <si>
    <t>deerbrush</t>
  </si>
  <si>
    <t>Kern ceanothus</t>
  </si>
  <si>
    <t>mountain misery</t>
  </si>
  <si>
    <t>rubber rabbitbrush</t>
  </si>
  <si>
    <t>Parry's rabbitbrush</t>
  </si>
  <si>
    <t>Sierra chinquapin</t>
  </si>
  <si>
    <t>Yerba santa</t>
  </si>
  <si>
    <t>bitter cherry</t>
  </si>
  <si>
    <t>antelope brush</t>
  </si>
  <si>
    <t>gold cup live oak</t>
  </si>
  <si>
    <t>California black oak</t>
  </si>
  <si>
    <t>huckleberry oak</t>
  </si>
  <si>
    <t>interior live oak</t>
  </si>
  <si>
    <t>snowberry</t>
  </si>
  <si>
    <t>poison oak</t>
  </si>
  <si>
    <t>Revised/alternative species</t>
  </si>
  <si>
    <t>Ericameria nauseosa</t>
  </si>
  <si>
    <t>Ericameria parryi</t>
  </si>
  <si>
    <t>Castanopsis sempervirens</t>
  </si>
  <si>
    <t>Amelanchier alnifolia</t>
  </si>
  <si>
    <t>AMAL</t>
  </si>
  <si>
    <t>serviceberry</t>
  </si>
  <si>
    <t>Ceanothus velutinus</t>
  </si>
  <si>
    <t>CEVE</t>
  </si>
  <si>
    <t>tobacco brush/snowbrush</t>
  </si>
  <si>
    <t>McGinnis</t>
  </si>
  <si>
    <t>Ritchie</t>
  </si>
  <si>
    <t>Battles</t>
  </si>
  <si>
    <t>Battles.leaf</t>
  </si>
  <si>
    <t>biomass.n</t>
  </si>
  <si>
    <t>leaf.n</t>
  </si>
  <si>
    <t>Quercus vacciniifolia</t>
  </si>
  <si>
    <t>Spp4</t>
  </si>
  <si>
    <t>Ribes aureum/Ribes roezlii</t>
  </si>
  <si>
    <t>golden currant/Sierra gooseberry</t>
  </si>
  <si>
    <t>Toxicodendron diversilobum</t>
  </si>
  <si>
    <t>Lutz</t>
  </si>
  <si>
    <t>COSE</t>
  </si>
  <si>
    <t>COCO</t>
  </si>
  <si>
    <t>LEDA</t>
  </si>
  <si>
    <t>Sierra laurel</t>
  </si>
  <si>
    <t>redoiser dogwood</t>
  </si>
  <si>
    <t>Cornus sericea</t>
  </si>
  <si>
    <t>Leucothoe davisiae</t>
  </si>
  <si>
    <t>Corylus cornuta Marsh. ssp. Californica</t>
  </si>
  <si>
    <t>beaked hazelnut</t>
  </si>
  <si>
    <t>matted yerba santa</t>
  </si>
  <si>
    <t>toyon</t>
  </si>
  <si>
    <t>Nama lobbii</t>
  </si>
  <si>
    <t>Eriodictyon lobbii</t>
  </si>
  <si>
    <t>SiteCode</t>
  </si>
  <si>
    <t>Site</t>
  </si>
  <si>
    <t>Lassen NF</t>
  </si>
  <si>
    <t>LNF</t>
  </si>
  <si>
    <t>YOSE</t>
  </si>
  <si>
    <t>Yosemite NP</t>
  </si>
  <si>
    <t>COMPLEX</t>
  </si>
  <si>
    <t>Stanilaus Complex Fire</t>
  </si>
  <si>
    <t>STAR</t>
  </si>
  <si>
    <t>Star Fire, Eldorado and Tahoe NF</t>
  </si>
  <si>
    <t>MCNALLY</t>
  </si>
  <si>
    <t>McNally Fire, Sierra NF</t>
  </si>
  <si>
    <t>PLUMAS</t>
  </si>
  <si>
    <t>Plumas NF</t>
  </si>
  <si>
    <t>SAGEHEN</t>
  </si>
  <si>
    <t xml:space="preserve">Sagehen Experimental Forest </t>
  </si>
  <si>
    <t>LASSEN</t>
  </si>
  <si>
    <t>SAGE</t>
  </si>
  <si>
    <t>Cornus nuttallii</t>
  </si>
  <si>
    <t>Pacific dogwood</t>
  </si>
  <si>
    <t>Ricur</t>
  </si>
  <si>
    <t>Ribes</t>
  </si>
  <si>
    <t>currant</t>
  </si>
  <si>
    <t>Rigoo</t>
  </si>
  <si>
    <t>gooseberry</t>
  </si>
  <si>
    <t>Risp</t>
  </si>
  <si>
    <t>gooseberry or currant</t>
  </si>
  <si>
    <t>Salex easwoodiae</t>
  </si>
  <si>
    <t>mountain willow</t>
  </si>
  <si>
    <t>Ceanothus</t>
  </si>
  <si>
    <t>ceanothus</t>
  </si>
  <si>
    <t>CESP</t>
  </si>
  <si>
    <t>SppCode</t>
  </si>
  <si>
    <t>Cesp</t>
  </si>
  <si>
    <t>Ribes spp</t>
  </si>
  <si>
    <t>currant/gooseberry</t>
  </si>
  <si>
    <t>Symphoricarpos spp</t>
  </si>
  <si>
    <t>SppSub</t>
  </si>
  <si>
    <t>Row Labels</t>
  </si>
  <si>
    <t>(blank)</t>
  </si>
  <si>
    <t>Grand Total</t>
  </si>
  <si>
    <t>Sum of McGinnis</t>
  </si>
  <si>
    <t>CEsp</t>
  </si>
  <si>
    <t>CECU</t>
  </si>
  <si>
    <t>Ceanothus cuneatus</t>
  </si>
  <si>
    <t>buck brush</t>
  </si>
  <si>
    <t>Toyon</t>
  </si>
  <si>
    <t>Matted yerba santa</t>
  </si>
  <si>
    <t>RIBCU</t>
  </si>
  <si>
    <t>RIBES_goose</t>
  </si>
  <si>
    <t>RIBES</t>
  </si>
  <si>
    <t xml:space="preserve">Symphoricarpos </t>
  </si>
  <si>
    <t>Species Code</t>
  </si>
  <si>
    <t>RICU</t>
  </si>
  <si>
    <t>RIGO</t>
  </si>
  <si>
    <t>CASE</t>
  </si>
  <si>
    <t>Huff species id for Sierra chinquapin</t>
  </si>
  <si>
    <t>SppAllom</t>
  </si>
  <si>
    <t>Allom_notes</t>
  </si>
  <si>
    <t>bush chinkapin</t>
  </si>
  <si>
    <t>Lumped with CEFR for analysis (1 of 2)</t>
  </si>
  <si>
    <t>Lumped with CEFR for analysis (2 of 2)</t>
  </si>
  <si>
    <t>lumped in QUCH for analysis (1 of 3)</t>
  </si>
  <si>
    <t>lumped in QUCH for analysis (3 of 3)</t>
  </si>
  <si>
    <t>all Ribes spp lumped in RISP for analyis (1 of 5)</t>
  </si>
  <si>
    <t>all Ribes spp lumped in RISP for analyis (2 of 5)</t>
  </si>
  <si>
    <t>all Ribes spp lumped in RISP for analyis (3 of 5)</t>
  </si>
  <si>
    <t>all Ribes spp lumped in RISP for analyis (4 of 5)</t>
  </si>
  <si>
    <t>all Ribes spp lumped in RISP for analyis (5 of 5)</t>
  </si>
  <si>
    <t>CA.m2</t>
  </si>
  <si>
    <t>AGL.kg</t>
  </si>
  <si>
    <t>Species</t>
  </si>
  <si>
    <t>NODE</t>
  </si>
  <si>
    <t>Notholithocarpus densiflorus</t>
  </si>
  <si>
    <t>Tanoak</t>
  </si>
  <si>
    <t>From Harrington 1983, "clumps"</t>
  </si>
  <si>
    <t>Lithocarpus densiflorus</t>
  </si>
  <si>
    <t>tan-oak</t>
  </si>
  <si>
    <t>Harrington</t>
  </si>
  <si>
    <t>tanoak</t>
  </si>
  <si>
    <t>BROOKINGS,OR</t>
  </si>
  <si>
    <t>Lithocarpus densiflora</t>
  </si>
  <si>
    <t>BROOK</t>
  </si>
  <si>
    <t>Brookings, OR</t>
  </si>
  <si>
    <t>TOTAL</t>
  </si>
  <si>
    <t xml:space="preserve">From Wakamoto dissertation; crown area equations (but no data) for six species </t>
  </si>
  <si>
    <t>ADFA</t>
  </si>
  <si>
    <t>ADSP</t>
  </si>
  <si>
    <t>ARCT</t>
  </si>
  <si>
    <t>CEGR</t>
  </si>
  <si>
    <t>CEBE</t>
  </si>
  <si>
    <t>ERFA</t>
  </si>
  <si>
    <t>QUDU</t>
  </si>
  <si>
    <t>chamise</t>
  </si>
  <si>
    <t>red shank</t>
  </si>
  <si>
    <t>Eastwood's manzanita</t>
  </si>
  <si>
    <t>California mountain mahogany</t>
  </si>
  <si>
    <t>desert ceanothus</t>
  </si>
  <si>
    <t>cupleaf ceanothus, Mojave buck brush</t>
  </si>
  <si>
    <t>Interior California buckwheat</t>
  </si>
  <si>
    <t>Quercus berberidifolia</t>
  </si>
  <si>
    <t>Town's oak</t>
  </si>
  <si>
    <t>Adenostoma fasciculatum</t>
  </si>
  <si>
    <t>Adenostoma sparsifolium</t>
  </si>
  <si>
    <t>Arctostaphvlos glandulosa</t>
  </si>
  <si>
    <t>Ceanothus greggii</t>
  </si>
  <si>
    <t>Cercooarous betuloides</t>
  </si>
  <si>
    <t>Eriogonum fasciculatum</t>
  </si>
  <si>
    <t>Ouercus dumosa</t>
  </si>
  <si>
    <t xml:space="preserve">For species below (SoCal), there are crown area allometry equations in RH Wakimoto's 1978 dissertations </t>
  </si>
  <si>
    <t>Wakimota eqn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</si>
</sst>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0"/>
      <color indexed="12"/>
      <name val="Arial"/>
      <family val="2"/>
    </font>
    <font>
      <sz val="11"/>
      <name val="Calibri"/>
      <family val="2"/>
      <scheme val="minor"/>
    </font>
    <font>
      <b/>
      <sz val="11"/>
      <name val="Calibri"/>
      <family val="2"/>
      <scheme val="minor"/>
    </font>
    <font>
      <sz val="11"/>
      <color rgb="FF005E2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/>
        <bgColor indexed="64"/>
      </patternFill>
    </fill>
  </fills>
  <borders count="2">
    <border>
      <left/>
      <right/>
      <top/>
      <bottom/>
      <diagonal/>
    </border>
    <border>
      <left/>
      <right style="thin">
        <color auto="1"/>
      </right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22">
    <xf numFmtId="0" fontId="0" fillId="0" borderId="0" xfId="0"/>
    <xf numFmtId="0" fontId="1" fillId="0" borderId="0" xfId="0" applyFont="1"/>
    <xf numFmtId="0" fontId="0" fillId="0" borderId="0" xfId="0" applyAlignment="1">
      <alignment horizontal="left"/>
    </xf>
    <xf numFmtId="0" fontId="0" fillId="0" borderId="0" xfId="0" applyAlignment="1">
      <alignment horizontal="center"/>
    </xf>
    <xf numFmtId="0" fontId="0" fillId="2" borderId="0" xfId="0" applyFill="1"/>
    <xf numFmtId="0" fontId="1" fillId="0" borderId="0" xfId="0" applyFont="1" applyAlignment="1">
      <alignment horizontal="center"/>
    </xf>
    <xf numFmtId="0" fontId="1" fillId="0" borderId="1" xfId="0" applyFont="1" applyBorder="1" applyAlignment="1">
      <alignment horizontal="center"/>
    </xf>
    <xf numFmtId="0" fontId="0" fillId="0" borderId="1" xfId="0" applyBorder="1"/>
    <xf numFmtId="0" fontId="0" fillId="2" borderId="1" xfId="0" applyFill="1" applyBorder="1"/>
    <xf numFmtId="0" fontId="0" fillId="3" borderId="0" xfId="0" applyFill="1"/>
    <xf numFmtId="0" fontId="0" fillId="3" borderId="1" xfId="0" applyFill="1" applyBorder="1"/>
    <xf numFmtId="0" fontId="3" fillId="0" borderId="0" xfId="0" applyFont="1"/>
    <xf numFmtId="0" fontId="4" fillId="0" borderId="0" xfId="0" applyFont="1"/>
    <xf numFmtId="0" fontId="3" fillId="3" borderId="0" xfId="0" applyFont="1" applyFill="1"/>
    <xf numFmtId="0" fontId="3" fillId="0" borderId="0" xfId="1" applyFont="1" applyAlignment="1" applyProtection="1"/>
    <xf numFmtId="0" fontId="2" fillId="0" borderId="0" xfId="1" applyAlignment="1" applyProtection="1"/>
    <xf numFmtId="0" fontId="3" fillId="4" borderId="0" xfId="0" applyFont="1" applyFill="1"/>
    <xf numFmtId="0" fontId="0" fillId="4" borderId="0" xfId="0" applyFill="1"/>
    <xf numFmtId="0" fontId="0" fillId="0" borderId="0" xfId="0" pivotButton="1"/>
    <xf numFmtId="0" fontId="5" fillId="0" borderId="0" xfId="0" applyFont="1"/>
    <xf numFmtId="0" fontId="0" fillId="0" borderId="0" xfId="0" applyAlignment="1">
      <alignment horizontal="center"/>
    </xf>
    <xf numFmtId="0" fontId="0" fillId="0" borderId="1" xfId="0" applyBorder="1" applyAlignment="1">
      <alignment horizont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pivotCacheDefinition" Target="pivotCache/pivotCacheDefinition1.xml"/><Relationship Id="rId3" Type="http://schemas.openxmlformats.org/officeDocument/2006/relationships/worksheet" Target="worksheets/sheet3.xml"/><Relationship Id="rId7" Type="http://schemas.openxmlformats.org/officeDocument/2006/relationships/externalLink" Target="externalLinks/externalLink1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jjb/Dropbox%20(Personal)/Shrub%20allometry/Make_spp_list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Weight and Volume by Shrub"/>
      <sheetName val="Summary"/>
      <sheetName val="Sheet1"/>
      <sheetName val="Weights"/>
      <sheetName val="Dimensions and Calculations"/>
    </sheetNames>
    <sheetDataSet>
      <sheetData sheetId="0"/>
      <sheetData sheetId="1">
        <row r="3">
          <cell r="A3" t="str">
            <v>Arctostaphylos patula</v>
          </cell>
          <cell r="B3" t="str">
            <v>ARPA</v>
          </cell>
          <cell r="C3" t="str">
            <v>greenleaf manzanita</v>
          </cell>
          <cell r="D3">
            <v>18</v>
          </cell>
          <cell r="E3">
            <v>32</v>
          </cell>
          <cell r="F3">
            <v>10</v>
          </cell>
          <cell r="G3">
            <v>4</v>
          </cell>
        </row>
        <row r="4">
          <cell r="A4" t="str">
            <v>Arctostaphylos viscida</v>
          </cell>
          <cell r="B4" t="str">
            <v>ARVI</v>
          </cell>
          <cell r="C4" t="str">
            <v>whiteleaf manzanita</v>
          </cell>
          <cell r="D4">
            <v>7</v>
          </cell>
          <cell r="E4">
            <v>0</v>
          </cell>
          <cell r="F4">
            <v>0</v>
          </cell>
          <cell r="G4">
            <v>4</v>
          </cell>
        </row>
        <row r="5">
          <cell r="A5" t="str">
            <v>Ceanothus cordulatus </v>
          </cell>
          <cell r="B5" t="str">
            <v>CECO</v>
          </cell>
          <cell r="C5" t="str">
            <v>whitethorn</v>
          </cell>
          <cell r="D5">
            <v>19</v>
          </cell>
          <cell r="E5">
            <v>27</v>
          </cell>
          <cell r="F5">
            <v>0</v>
          </cell>
          <cell r="G5">
            <v>4</v>
          </cell>
        </row>
        <row r="6">
          <cell r="A6" t="str">
            <v>Ceanothus integerrimus</v>
          </cell>
          <cell r="B6" t="str">
            <v>CEIN</v>
          </cell>
          <cell r="C6" t="str">
            <v>deerbrush</v>
          </cell>
          <cell r="D6">
            <v>10</v>
          </cell>
          <cell r="E6">
            <v>21</v>
          </cell>
          <cell r="F6">
            <v>0</v>
          </cell>
          <cell r="G6">
            <v>0</v>
          </cell>
        </row>
        <row r="7">
          <cell r="A7" t="str">
            <v>Chrysolepis sempervirens</v>
          </cell>
          <cell r="B7" t="str">
            <v>CHSE</v>
          </cell>
          <cell r="C7" t="str">
            <v>Sierra chinquapin</v>
          </cell>
          <cell r="D7">
            <v>6</v>
          </cell>
          <cell r="E7">
            <v>20</v>
          </cell>
          <cell r="F7">
            <v>0</v>
          </cell>
          <cell r="G7">
            <v>6</v>
          </cell>
        </row>
        <row r="8">
          <cell r="A8" t="str">
            <v>Ceanothus fresnensis/Ceanothus pinetorum</v>
          </cell>
          <cell r="B8" t="str">
            <v>CE_spp</v>
          </cell>
          <cell r="C8" t="str">
            <v>Fresno/Kern ceanothus</v>
          </cell>
          <cell r="D8">
            <v>8</v>
          </cell>
          <cell r="E8">
            <v>0</v>
          </cell>
          <cell r="F8">
            <v>0</v>
          </cell>
          <cell r="G8">
            <v>0</v>
          </cell>
        </row>
        <row r="9">
          <cell r="A9" t="str">
            <v>Ericameria nauseosa/Ericameria parryi</v>
          </cell>
          <cell r="B9" t="str">
            <v>CH_spp</v>
          </cell>
          <cell r="C9" t="str">
            <v>rabbitbrush</v>
          </cell>
          <cell r="D9">
            <v>8</v>
          </cell>
          <cell r="E9">
            <v>0</v>
          </cell>
          <cell r="F9">
            <v>0</v>
          </cell>
          <cell r="G9">
            <v>0</v>
          </cell>
        </row>
        <row r="10">
          <cell r="A10" t="str">
            <v>Quercus chrysolepis/Quercus vacciniifolia</v>
          </cell>
          <cell r="B10" t="str">
            <v>QUVA</v>
          </cell>
          <cell r="C10" t="str">
            <v>huckleberry oak</v>
          </cell>
          <cell r="D10">
            <v>11</v>
          </cell>
          <cell r="E10">
            <v>0</v>
          </cell>
          <cell r="F10">
            <v>10</v>
          </cell>
          <cell r="G10">
            <v>0</v>
          </cell>
        </row>
        <row r="11">
          <cell r="A11" t="str">
            <v>Ribes californicum (spp)</v>
          </cell>
          <cell r="B11" t="str">
            <v>Ribes</v>
          </cell>
          <cell r="C11" t="str">
            <v>currants</v>
          </cell>
          <cell r="D11">
            <v>18</v>
          </cell>
          <cell r="E11">
            <v>26</v>
          </cell>
          <cell r="F11">
            <v>0</v>
          </cell>
          <cell r="G11">
            <v>11</v>
          </cell>
        </row>
        <row r="12">
          <cell r="A12" t="str">
            <v>Symphoricarpos (spp)</v>
          </cell>
          <cell r="B12" t="str">
            <v>Symphoricarpos</v>
          </cell>
          <cell r="C12" t="str">
            <v>snowberry</v>
          </cell>
          <cell r="D12">
            <v>11</v>
          </cell>
          <cell r="E12">
            <v>0</v>
          </cell>
          <cell r="F12">
            <v>0</v>
          </cell>
          <cell r="G12">
            <v>0</v>
          </cell>
        </row>
        <row r="13">
          <cell r="A13" t="str">
            <v>Amelanchier alnifolia</v>
          </cell>
          <cell r="B13" t="str">
            <v>AMAL</v>
          </cell>
          <cell r="C13" t="str">
            <v>serviceberry</v>
          </cell>
          <cell r="D13">
            <v>0</v>
          </cell>
          <cell r="E13">
            <v>26</v>
          </cell>
          <cell r="F13">
            <v>0</v>
          </cell>
          <cell r="G13">
            <v>4</v>
          </cell>
        </row>
        <row r="14">
          <cell r="A14" t="str">
            <v>Ceanothus velutinus</v>
          </cell>
          <cell r="B14" t="str">
            <v>CEVE</v>
          </cell>
          <cell r="C14" t="str">
            <v>tobacco brush/snowbrush</v>
          </cell>
          <cell r="D14">
            <v>0</v>
          </cell>
          <cell r="E14">
            <v>26</v>
          </cell>
          <cell r="F14">
            <v>10</v>
          </cell>
          <cell r="G14">
            <v>2</v>
          </cell>
        </row>
      </sheetData>
      <sheetData sheetId="2"/>
      <sheetData sheetId="3"/>
      <sheetData sheetId="4"/>
    </sheetDataSet>
  </externalBook>
</externalLink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JJB" refreshedDate="43997.419004745374" createdVersion="5" refreshedVersion="5" minRefreshableVersion="3" recordCount="39" xr:uid="{00000000-000A-0000-FFFF-FFFF02000000}">
  <cacheSource type="worksheet">
    <worksheetSource ref="A2:L1048576" sheet="Species list "/>
  </cacheSource>
  <cacheFields count="11">
    <cacheField name="SppCode" numFmtId="0">
      <sharedItems containsBlank="1" count="33">
        <s v="AMAL"/>
        <s v="ARPA"/>
        <s v="ARVI"/>
        <s v="CECO"/>
        <s v="Cesp"/>
        <s v="CEFR"/>
        <s v="CEIN"/>
        <s v="CEPI"/>
        <s v="CEVE"/>
        <s v="CHFO"/>
        <s v="CHNA"/>
        <s v="CHPA"/>
        <s v="CHSE"/>
        <s v="CONU"/>
        <s v="ERCA"/>
        <s v="HEAR"/>
        <s v="NALO"/>
        <s v="PREM"/>
        <s v="PUTR"/>
        <s v="QUCH"/>
        <s v="QUKE"/>
        <s v="QUVA"/>
        <s v="QUWI"/>
        <s v="Ricur"/>
        <s v="Rigoo"/>
        <s v="Risp"/>
        <s v="SAEA"/>
        <s v="SYMP"/>
        <s v="TODI"/>
        <s v="COSE"/>
        <s v="COCO"/>
        <s v="LEDA"/>
        <m/>
      </sharedItems>
    </cacheField>
    <cacheField name="Spp4" numFmtId="0">
      <sharedItems containsBlank="1" count="31">
        <s v="AMAL"/>
        <s v="ARPA"/>
        <s v="ARVI"/>
        <s v="CECO"/>
        <s v="CESP"/>
        <s v="CEFR"/>
        <s v="CEIN"/>
        <s v="CEPI"/>
        <s v="CEVE"/>
        <s v="CHFO"/>
        <s v="CHNA"/>
        <s v="CHPA"/>
        <s v="CHSE"/>
        <s v="CONU"/>
        <s v="ERCA"/>
        <s v="HEAR"/>
        <s v="NALO"/>
        <s v="PREM"/>
        <s v="PUTR"/>
        <s v="QUCH"/>
        <s v="QUKE"/>
        <s v="QUVA"/>
        <s v="QUWI"/>
        <s v="RISP"/>
        <s v="SAEA"/>
        <s v="SYMP"/>
        <s v="TODI"/>
        <s v="COSE"/>
        <s v="COCO"/>
        <s v="LEDA"/>
        <m/>
      </sharedItems>
    </cacheField>
    <cacheField name="SppSub" numFmtId="0">
      <sharedItems containsBlank="1" count="27">
        <s v="AMAL"/>
        <s v="ARPA"/>
        <s v="CECO"/>
        <s v="CESP"/>
        <s v="CEPI"/>
        <s v="CEIN"/>
        <s v="CEVE"/>
        <s v="CHFO"/>
        <s v="CHNA"/>
        <s v="CHSE"/>
        <s v="CONU"/>
        <s v="ERCA"/>
        <s v="HEAR"/>
        <s v="NALO"/>
        <s v="PREM"/>
        <s v="PUTR"/>
        <s v="QUCH"/>
        <s v="QUKE"/>
        <s v="QUVA"/>
        <s v="RISP"/>
        <s v="SAEA"/>
        <s v="SYMP"/>
        <s v="TODI"/>
        <s v="COSE"/>
        <s v="COCO"/>
        <s v="LEDA"/>
        <m/>
      </sharedItems>
    </cacheField>
    <cacheField name="Likely species" numFmtId="0">
      <sharedItems containsBlank="1"/>
    </cacheField>
    <cacheField name="Common name" numFmtId="0">
      <sharedItems containsBlank="1"/>
    </cacheField>
    <cacheField name="Revised/alternative species" numFmtId="0">
      <sharedItems containsBlank="1"/>
    </cacheField>
    <cacheField name="McGinnis" numFmtId="0">
      <sharedItems containsString="0" containsBlank="1" containsNumber="1" containsInteger="1" minValue="0" maxValue="19"/>
    </cacheField>
    <cacheField name="Ritchie" numFmtId="0">
      <sharedItems containsString="0" containsBlank="1" containsNumber="1" containsInteger="1" minValue="0" maxValue="32"/>
    </cacheField>
    <cacheField name="Lutz" numFmtId="0">
      <sharedItems containsString="0" containsBlank="1" containsNumber="1" containsInteger="1" minValue="0" maxValue="50"/>
    </cacheField>
    <cacheField name="Battles" numFmtId="0">
      <sharedItems containsString="0" containsBlank="1" containsNumber="1" containsInteger="1" minValue="0" maxValue="10"/>
    </cacheField>
    <cacheField name="Battles.leaf" numFmtId="0">
      <sharedItems containsString="0" containsBlank="1" containsNumber="1" containsInteger="1" minValue="0" maxValue="6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39">
  <r>
    <x v="0"/>
    <x v="0"/>
    <x v="0"/>
    <s v="Amelanchier alnifolia"/>
    <s v="serviceberry"/>
    <m/>
    <n v="0"/>
    <n v="28"/>
    <n v="0"/>
    <n v="0"/>
    <n v="4"/>
  </r>
  <r>
    <x v="1"/>
    <x v="1"/>
    <x v="1"/>
    <s v="Arctostaphylos patula"/>
    <s v="greenleaf manzanita"/>
    <m/>
    <n v="18"/>
    <n v="32"/>
    <n v="0"/>
    <n v="10"/>
    <n v="4"/>
  </r>
  <r>
    <x v="2"/>
    <x v="2"/>
    <x v="1"/>
    <s v="Arctostaphylos viscida"/>
    <s v="whiteleaf manzanita"/>
    <m/>
    <n v="7"/>
    <n v="0"/>
    <n v="0"/>
    <n v="0"/>
    <n v="4"/>
  </r>
  <r>
    <x v="3"/>
    <x v="3"/>
    <x v="2"/>
    <s v="Ceanothus cordulatus "/>
    <s v="whitethorn"/>
    <m/>
    <n v="19"/>
    <n v="27"/>
    <n v="0"/>
    <n v="0"/>
    <n v="4"/>
  </r>
  <r>
    <x v="4"/>
    <x v="4"/>
    <x v="3"/>
    <s v="Ceanothus"/>
    <s v="ceanothus"/>
    <m/>
    <n v="1"/>
    <n v="0"/>
    <n v="0"/>
    <n v="0"/>
    <n v="0"/>
  </r>
  <r>
    <x v="5"/>
    <x v="5"/>
    <x v="4"/>
    <s v="Ceanothus fresnensis"/>
    <s v="Fresno ceanothus"/>
    <m/>
    <n v="1"/>
    <n v="0"/>
    <n v="0"/>
    <n v="0"/>
    <n v="0"/>
  </r>
  <r>
    <x v="6"/>
    <x v="6"/>
    <x v="5"/>
    <s v="Ceanothus integerrimus"/>
    <s v="deerbrush"/>
    <m/>
    <n v="10"/>
    <n v="21"/>
    <n v="0"/>
    <n v="0"/>
    <n v="0"/>
  </r>
  <r>
    <x v="7"/>
    <x v="7"/>
    <x v="4"/>
    <s v="Ceanothus pinetorum"/>
    <s v="Kern ceanothus"/>
    <m/>
    <n v="7"/>
    <n v="0"/>
    <n v="0"/>
    <n v="0"/>
    <n v="0"/>
  </r>
  <r>
    <x v="8"/>
    <x v="8"/>
    <x v="6"/>
    <s v="Ceanothus velutinus"/>
    <s v="tobacco brush/snowbrush"/>
    <m/>
    <n v="0"/>
    <n v="26"/>
    <n v="0"/>
    <n v="10"/>
    <n v="2"/>
  </r>
  <r>
    <x v="9"/>
    <x v="9"/>
    <x v="7"/>
    <s v="Chamaebatia fotiolosa"/>
    <s v="mountain misery"/>
    <m/>
    <n v="6"/>
    <n v="0"/>
    <n v="0"/>
    <n v="0"/>
    <n v="0"/>
  </r>
  <r>
    <x v="10"/>
    <x v="10"/>
    <x v="8"/>
    <s v="Chrysothamnus nauseosus"/>
    <s v="rubber rabbitbrush"/>
    <s v="Ericameria nauseosa"/>
    <n v="4"/>
    <n v="0"/>
    <n v="0"/>
    <n v="0"/>
    <n v="0"/>
  </r>
  <r>
    <x v="11"/>
    <x v="11"/>
    <x v="8"/>
    <s v="Chrysothamnus parryi"/>
    <s v="Parry's rabbitbrush"/>
    <s v="Ericameria parryi"/>
    <n v="4"/>
    <n v="0"/>
    <n v="0"/>
    <n v="0"/>
    <n v="0"/>
  </r>
  <r>
    <x v="12"/>
    <x v="12"/>
    <x v="9"/>
    <s v="Chrysolepis sempervirens"/>
    <s v="Sierra chinquapin"/>
    <s v="Castanopsis sempervirens"/>
    <n v="6"/>
    <n v="20"/>
    <n v="40"/>
    <n v="0"/>
    <n v="6"/>
  </r>
  <r>
    <x v="13"/>
    <x v="13"/>
    <x v="10"/>
    <s v="Cornus nuttallii"/>
    <s v="Pacific dogwood"/>
    <m/>
    <n v="1"/>
    <n v="0"/>
    <n v="0"/>
    <n v="0"/>
    <n v="0"/>
  </r>
  <r>
    <x v="14"/>
    <x v="14"/>
    <x v="11"/>
    <s v="Eriodictyon californicum"/>
    <s v="Yerba santa"/>
    <m/>
    <n v="3"/>
    <n v="0"/>
    <n v="0"/>
    <n v="0"/>
    <n v="0"/>
  </r>
  <r>
    <x v="15"/>
    <x v="15"/>
    <x v="12"/>
    <s v="Heteromeles arbutifolia"/>
    <s v="toyon"/>
    <m/>
    <n v="3"/>
    <n v="0"/>
    <n v="0"/>
    <n v="0"/>
    <n v="0"/>
  </r>
  <r>
    <x v="16"/>
    <x v="16"/>
    <x v="13"/>
    <s v="Nama lobbii"/>
    <s v="matted yerba santa"/>
    <s v="Eriodictyon lobbii"/>
    <n v="5"/>
    <n v="0"/>
    <n v="0"/>
    <n v="0"/>
    <n v="0"/>
  </r>
  <r>
    <x v="17"/>
    <x v="17"/>
    <x v="14"/>
    <s v="Prunus emarginata"/>
    <s v="bitter cherry"/>
    <m/>
    <n v="6"/>
    <n v="0"/>
    <n v="0"/>
    <n v="0"/>
    <n v="0"/>
  </r>
  <r>
    <x v="18"/>
    <x v="18"/>
    <x v="15"/>
    <s v="Purshia tridentata"/>
    <s v="antelope brush"/>
    <m/>
    <n v="3"/>
    <n v="0"/>
    <n v="0"/>
    <n v="0"/>
    <n v="0"/>
  </r>
  <r>
    <x v="19"/>
    <x v="19"/>
    <x v="16"/>
    <s v="Quercus chrysolepis"/>
    <s v="gold cup live oak"/>
    <m/>
    <n v="3"/>
    <n v="0"/>
    <n v="0"/>
    <n v="0"/>
    <n v="0"/>
  </r>
  <r>
    <x v="20"/>
    <x v="20"/>
    <x v="17"/>
    <s v="Quercus kelloggii"/>
    <s v="California black oak"/>
    <m/>
    <n v="8"/>
    <n v="0"/>
    <n v="0"/>
    <n v="0"/>
    <n v="0"/>
  </r>
  <r>
    <x v="21"/>
    <x v="21"/>
    <x v="18"/>
    <s v="Quercus vacciniifolia"/>
    <s v="huckleberry oak"/>
    <m/>
    <n v="2"/>
    <n v="0"/>
    <n v="0"/>
    <n v="10"/>
    <n v="0"/>
  </r>
  <r>
    <x v="22"/>
    <x v="22"/>
    <x v="16"/>
    <s v="Quercus wislizenii "/>
    <s v="interior live oak"/>
    <m/>
    <n v="1"/>
    <n v="0"/>
    <n v="0"/>
    <n v="0"/>
    <n v="0"/>
  </r>
  <r>
    <x v="23"/>
    <x v="23"/>
    <x v="19"/>
    <s v="Ribes"/>
    <s v="currant"/>
    <m/>
    <n v="10"/>
    <n v="0"/>
    <n v="0"/>
    <n v="0"/>
    <n v="0"/>
  </r>
  <r>
    <x v="24"/>
    <x v="23"/>
    <x v="19"/>
    <s v="Ribes"/>
    <s v="gooseberry"/>
    <m/>
    <n v="8"/>
    <n v="0"/>
    <n v="0"/>
    <n v="0"/>
    <n v="0"/>
  </r>
  <r>
    <x v="25"/>
    <x v="23"/>
    <x v="19"/>
    <s v="Ribes"/>
    <s v="gooseberry or currant"/>
    <m/>
    <n v="1"/>
    <n v="0"/>
    <n v="0"/>
    <n v="0"/>
    <n v="0"/>
  </r>
  <r>
    <x v="25"/>
    <x v="23"/>
    <x v="19"/>
    <s v="Ribes aureum/Ribes roezlii"/>
    <s v="golden currant/Sierra gooseberry"/>
    <m/>
    <n v="0"/>
    <n v="26"/>
    <n v="0"/>
    <n v="0"/>
    <n v="0"/>
  </r>
  <r>
    <x v="26"/>
    <x v="24"/>
    <x v="20"/>
    <s v="Salex easwoodiae"/>
    <s v="mountain willow"/>
    <m/>
    <n v="1"/>
    <n v="0"/>
    <n v="0"/>
    <n v="0"/>
    <n v="0"/>
  </r>
  <r>
    <x v="27"/>
    <x v="25"/>
    <x v="21"/>
    <s v="Symphoricarpos spp"/>
    <s v="snowberry"/>
    <m/>
    <n v="11"/>
    <n v="0"/>
    <n v="0"/>
    <n v="0"/>
    <n v="0"/>
  </r>
  <r>
    <x v="28"/>
    <x v="26"/>
    <x v="22"/>
    <s v="Toxicodendron diversilobum"/>
    <s v="poison oak"/>
    <m/>
    <n v="4"/>
    <n v="0"/>
    <n v="0"/>
    <n v="0"/>
    <n v="0"/>
  </r>
  <r>
    <x v="29"/>
    <x v="27"/>
    <x v="23"/>
    <s v="Cornus sericea"/>
    <s v="redoiser dogwood"/>
    <m/>
    <n v="0"/>
    <n v="0"/>
    <n v="41"/>
    <n v="0"/>
    <n v="0"/>
  </r>
  <r>
    <x v="30"/>
    <x v="28"/>
    <x v="24"/>
    <s v="Corylus cornuta Marsh. ssp. Californica"/>
    <s v="beaked hazelnut"/>
    <m/>
    <n v="0"/>
    <n v="0"/>
    <n v="50"/>
    <n v="0"/>
    <n v="0"/>
  </r>
  <r>
    <x v="31"/>
    <x v="29"/>
    <x v="25"/>
    <s v="Leucothoe davisiae"/>
    <s v="Sierra laurel"/>
    <m/>
    <n v="0"/>
    <n v="0"/>
    <n v="40"/>
    <n v="0"/>
    <n v="0"/>
  </r>
  <r>
    <x v="32"/>
    <x v="30"/>
    <x v="26"/>
    <m/>
    <m/>
    <m/>
    <m/>
    <m/>
    <m/>
    <m/>
    <m/>
  </r>
  <r>
    <x v="32"/>
    <x v="30"/>
    <x v="26"/>
    <m/>
    <m/>
    <m/>
    <m/>
    <m/>
    <m/>
    <m/>
    <m/>
  </r>
  <r>
    <x v="32"/>
    <x v="30"/>
    <x v="26"/>
    <m/>
    <m/>
    <m/>
    <m/>
    <m/>
    <m/>
    <m/>
    <m/>
  </r>
  <r>
    <x v="32"/>
    <x v="30"/>
    <x v="26"/>
    <m/>
    <m/>
    <m/>
    <m/>
    <m/>
    <m/>
    <m/>
    <m/>
  </r>
  <r>
    <x v="32"/>
    <x v="30"/>
    <x v="26"/>
    <m/>
    <m/>
    <m/>
    <m/>
    <m/>
    <m/>
    <m/>
    <m/>
  </r>
  <r>
    <x v="32"/>
    <x v="30"/>
    <x v="26"/>
    <m/>
    <m/>
    <m/>
    <m/>
    <m/>
    <m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000-000000000000}" name="PivotTable2" cacheId="0" applyNumberFormats="0" applyBorderFormats="0" applyFontFormats="0" applyPatternFormats="0" applyAlignmentFormats="0" applyWidthHeightFormats="1" dataCaption="Values" updatedVersion="5" minRefreshableVersion="3" useAutoFormatting="1" itemPrintTitles="1" createdVersion="5" indent="0" outline="1" outlineData="1" multipleFieldFilters="0">
  <location ref="A3:B35" firstHeaderRow="1" firstDataRow="1" firstDataCol="1"/>
  <pivotFields count="11">
    <pivotField showAll="0">
      <items count="34">
        <item x="0"/>
        <item x="1"/>
        <item x="2"/>
        <item x="3"/>
        <item x="5"/>
        <item x="6"/>
        <item x="7"/>
        <item x="4"/>
        <item x="8"/>
        <item x="9"/>
        <item x="10"/>
        <item x="11"/>
        <item x="12"/>
        <item x="30"/>
        <item x="13"/>
        <item x="29"/>
        <item x="14"/>
        <item x="15"/>
        <item x="31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32"/>
        <item t="default"/>
      </items>
    </pivotField>
    <pivotField axis="axisRow" showAll="0">
      <items count="32">
        <item x="0"/>
        <item x="1"/>
        <item x="2"/>
        <item x="3"/>
        <item x="5"/>
        <item x="6"/>
        <item x="7"/>
        <item x="4"/>
        <item x="8"/>
        <item x="9"/>
        <item x="10"/>
        <item x="11"/>
        <item x="12"/>
        <item x="28"/>
        <item x="13"/>
        <item x="27"/>
        <item x="14"/>
        <item x="15"/>
        <item x="29"/>
        <item x="16"/>
        <item x="17"/>
        <item x="18"/>
        <item x="19"/>
        <item x="20"/>
        <item x="21"/>
        <item x="22"/>
        <item x="23"/>
        <item x="24"/>
        <item x="25"/>
        <item x="26"/>
        <item x="30"/>
        <item t="default"/>
      </items>
    </pivotField>
    <pivotField showAll="0">
      <items count="28">
        <item x="0"/>
        <item x="1"/>
        <item x="2"/>
        <item x="5"/>
        <item x="4"/>
        <item x="3"/>
        <item x="6"/>
        <item x="7"/>
        <item x="8"/>
        <item x="9"/>
        <item x="24"/>
        <item x="10"/>
        <item x="23"/>
        <item x="11"/>
        <item x="12"/>
        <item x="25"/>
        <item x="13"/>
        <item x="14"/>
        <item x="15"/>
        <item x="16"/>
        <item x="17"/>
        <item x="18"/>
        <item x="19"/>
        <item x="20"/>
        <item x="21"/>
        <item x="22"/>
        <item x="26"/>
        <item t="default"/>
      </items>
    </pivotField>
    <pivotField showAll="0"/>
    <pivotField showAll="0"/>
    <pivotField showAll="0"/>
    <pivotField dataField="1" showAll="0"/>
    <pivotField showAll="0"/>
    <pivotField showAll="0"/>
    <pivotField showAll="0"/>
    <pivotField showAll="0"/>
  </pivotFields>
  <rowFields count="1">
    <field x="1"/>
  </rowFields>
  <rowItems count="32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 t="grand">
      <x/>
    </i>
  </rowItems>
  <colItems count="1">
    <i/>
  </colItems>
  <dataFields count="1">
    <dataField name="Sum of McGinnis" fld="6" baseField="1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https://www.calflora.org/cgi-bin/species_query.cgi?where-calrecnum=11670" TargetMode="External"/><Relationship Id="rId1" Type="http://schemas.openxmlformats.org/officeDocument/2006/relationships/hyperlink" Target="https://www.calflora.org/cgi-bin/species_query.cgi?where-calrecnum=1834" TargetMode="Externa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calflora.org/cgi-bin/species_query.cgi?where-calrecnum=11670" TargetMode="Externa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calflora.org/cgi-bin/species_query.cgi?where-calrecnum=1834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3:B35"/>
  <sheetViews>
    <sheetView workbookViewId="0">
      <selection activeCell="R48" sqref="R48"/>
    </sheetView>
  </sheetViews>
  <sheetFormatPr defaultRowHeight="14.5" x14ac:dyDescent="0.35"/>
  <cols>
    <col min="1" max="1" width="12.453125" customWidth="1"/>
    <col min="2" max="2" width="14.81640625" customWidth="1"/>
    <col min="3" max="4" width="5.453125" bestFit="1" customWidth="1"/>
    <col min="5" max="5" width="4.7265625" customWidth="1"/>
    <col min="6" max="6" width="4.54296875" customWidth="1"/>
    <col min="7" max="7" width="4.81640625" bestFit="1" customWidth="1"/>
    <col min="8" max="8" width="5.1796875" bestFit="1" customWidth="1"/>
    <col min="9" max="9" width="5.453125" bestFit="1" customWidth="1"/>
    <col min="10" max="10" width="5.54296875" bestFit="1" customWidth="1"/>
    <col min="11" max="11" width="5.1796875" customWidth="1"/>
    <col min="12" max="12" width="5.7265625" bestFit="1" customWidth="1"/>
    <col min="13" max="13" width="5.81640625" bestFit="1" customWidth="1"/>
    <col min="14" max="14" width="5.1796875" bestFit="1" customWidth="1"/>
    <col min="15" max="15" width="5.1796875" customWidth="1"/>
    <col min="16" max="16" width="5.453125" customWidth="1"/>
    <col min="17" max="17" width="5.1796875" customWidth="1"/>
    <col min="18" max="18" width="5.453125" bestFit="1" customWidth="1"/>
    <col min="19" max="19" width="5.7265625" bestFit="1" customWidth="1"/>
    <col min="20" max="20" width="5.26953125" bestFit="1" customWidth="1"/>
    <col min="21" max="21" width="5.81640625" bestFit="1" customWidth="1"/>
    <col min="22" max="22" width="5.54296875" customWidth="1"/>
    <col min="23" max="23" width="5.81640625" bestFit="1" customWidth="1"/>
    <col min="24" max="24" width="4.453125" customWidth="1"/>
    <col min="25" max="25" width="5.1796875" customWidth="1"/>
    <col min="26" max="26" width="5.54296875" customWidth="1"/>
    <col min="27" max="27" width="5" customWidth="1"/>
    <col min="28" max="28" width="6.7265625" bestFit="1" customWidth="1"/>
    <col min="29" max="29" width="10.7265625" bestFit="1" customWidth="1"/>
    <col min="30" max="30" width="5.54296875" bestFit="1" customWidth="1"/>
    <col min="31" max="31" width="5" bestFit="1" customWidth="1"/>
    <col min="32" max="32" width="6.7265625" bestFit="1" customWidth="1"/>
    <col min="33" max="33" width="10.7265625" bestFit="1" customWidth="1"/>
  </cols>
  <sheetData>
    <row r="3" spans="1:2" x14ac:dyDescent="0.35">
      <c r="A3" s="18" t="s">
        <v>136</v>
      </c>
      <c r="B3" t="s">
        <v>139</v>
      </c>
    </row>
    <row r="4" spans="1:2" x14ac:dyDescent="0.35">
      <c r="A4" s="2" t="s">
        <v>68</v>
      </c>
      <c r="B4">
        <v>0</v>
      </c>
    </row>
    <row r="5" spans="1:2" x14ac:dyDescent="0.35">
      <c r="A5" s="2" t="s">
        <v>1</v>
      </c>
      <c r="B5">
        <v>18</v>
      </c>
    </row>
    <row r="6" spans="1:2" x14ac:dyDescent="0.35">
      <c r="A6" s="2" t="s">
        <v>2</v>
      </c>
      <c r="B6">
        <v>7</v>
      </c>
    </row>
    <row r="7" spans="1:2" x14ac:dyDescent="0.35">
      <c r="A7" s="2" t="s">
        <v>3</v>
      </c>
      <c r="B7">
        <v>19</v>
      </c>
    </row>
    <row r="8" spans="1:2" x14ac:dyDescent="0.35">
      <c r="A8" s="2" t="s">
        <v>4</v>
      </c>
      <c r="B8">
        <v>1</v>
      </c>
    </row>
    <row r="9" spans="1:2" x14ac:dyDescent="0.35">
      <c r="A9" s="2" t="s">
        <v>5</v>
      </c>
      <c r="B9">
        <v>10</v>
      </c>
    </row>
    <row r="10" spans="1:2" x14ac:dyDescent="0.35">
      <c r="A10" s="2" t="s">
        <v>6</v>
      </c>
      <c r="B10">
        <v>7</v>
      </c>
    </row>
    <row r="11" spans="1:2" x14ac:dyDescent="0.35">
      <c r="A11" s="2" t="s">
        <v>129</v>
      </c>
      <c r="B11">
        <v>1</v>
      </c>
    </row>
    <row r="12" spans="1:2" x14ac:dyDescent="0.35">
      <c r="A12" s="2" t="s">
        <v>71</v>
      </c>
      <c r="B12">
        <v>0</v>
      </c>
    </row>
    <row r="13" spans="1:2" x14ac:dyDescent="0.35">
      <c r="A13" s="2" t="s">
        <v>7</v>
      </c>
      <c r="B13">
        <v>6</v>
      </c>
    </row>
    <row r="14" spans="1:2" x14ac:dyDescent="0.35">
      <c r="A14" s="2" t="s">
        <v>8</v>
      </c>
      <c r="B14">
        <v>4</v>
      </c>
    </row>
    <row r="15" spans="1:2" x14ac:dyDescent="0.35">
      <c r="A15" s="2" t="s">
        <v>9</v>
      </c>
      <c r="B15">
        <v>4</v>
      </c>
    </row>
    <row r="16" spans="1:2" x14ac:dyDescent="0.35">
      <c r="A16" s="2" t="s">
        <v>10</v>
      </c>
      <c r="B16">
        <v>6</v>
      </c>
    </row>
    <row r="17" spans="1:2" x14ac:dyDescent="0.35">
      <c r="A17" s="2" t="s">
        <v>86</v>
      </c>
      <c r="B17">
        <v>0</v>
      </c>
    </row>
    <row r="18" spans="1:2" x14ac:dyDescent="0.35">
      <c r="A18" s="2" t="s">
        <v>11</v>
      </c>
      <c r="B18">
        <v>1</v>
      </c>
    </row>
    <row r="19" spans="1:2" x14ac:dyDescent="0.35">
      <c r="A19" s="2" t="s">
        <v>85</v>
      </c>
      <c r="B19">
        <v>0</v>
      </c>
    </row>
    <row r="20" spans="1:2" x14ac:dyDescent="0.35">
      <c r="A20" s="2" t="s">
        <v>12</v>
      </c>
      <c r="B20">
        <v>3</v>
      </c>
    </row>
    <row r="21" spans="1:2" x14ac:dyDescent="0.35">
      <c r="A21" s="2" t="s">
        <v>13</v>
      </c>
      <c r="B21">
        <v>3</v>
      </c>
    </row>
    <row r="22" spans="1:2" x14ac:dyDescent="0.35">
      <c r="A22" s="2" t="s">
        <v>87</v>
      </c>
      <c r="B22">
        <v>0</v>
      </c>
    </row>
    <row r="23" spans="1:2" x14ac:dyDescent="0.35">
      <c r="A23" s="2" t="s">
        <v>14</v>
      </c>
      <c r="B23">
        <v>5</v>
      </c>
    </row>
    <row r="24" spans="1:2" x14ac:dyDescent="0.35">
      <c r="A24" s="2" t="s">
        <v>15</v>
      </c>
      <c r="B24">
        <v>6</v>
      </c>
    </row>
    <row r="25" spans="1:2" x14ac:dyDescent="0.35">
      <c r="A25" s="2" t="s">
        <v>16</v>
      </c>
      <c r="B25">
        <v>3</v>
      </c>
    </row>
    <row r="26" spans="1:2" x14ac:dyDescent="0.35">
      <c r="A26" s="2" t="s">
        <v>17</v>
      </c>
      <c r="B26">
        <v>3</v>
      </c>
    </row>
    <row r="27" spans="1:2" x14ac:dyDescent="0.35">
      <c r="A27" s="2" t="s">
        <v>18</v>
      </c>
      <c r="B27">
        <v>8</v>
      </c>
    </row>
    <row r="28" spans="1:2" x14ac:dyDescent="0.35">
      <c r="A28" s="2" t="s">
        <v>19</v>
      </c>
      <c r="B28">
        <v>2</v>
      </c>
    </row>
    <row r="29" spans="1:2" x14ac:dyDescent="0.35">
      <c r="A29" s="2" t="s">
        <v>20</v>
      </c>
      <c r="B29">
        <v>1</v>
      </c>
    </row>
    <row r="30" spans="1:2" x14ac:dyDescent="0.35">
      <c r="A30" s="2" t="s">
        <v>21</v>
      </c>
      <c r="B30">
        <v>19</v>
      </c>
    </row>
    <row r="31" spans="1:2" x14ac:dyDescent="0.35">
      <c r="A31" s="2" t="s">
        <v>22</v>
      </c>
      <c r="B31">
        <v>1</v>
      </c>
    </row>
    <row r="32" spans="1:2" x14ac:dyDescent="0.35">
      <c r="A32" s="2" t="s">
        <v>23</v>
      </c>
      <c r="B32">
        <v>11</v>
      </c>
    </row>
    <row r="33" spans="1:2" x14ac:dyDescent="0.35">
      <c r="A33" s="2" t="s">
        <v>24</v>
      </c>
      <c r="B33">
        <v>4</v>
      </c>
    </row>
    <row r="34" spans="1:2" x14ac:dyDescent="0.35">
      <c r="A34" s="2" t="s">
        <v>137</v>
      </c>
    </row>
    <row r="35" spans="1:2" x14ac:dyDescent="0.35">
      <c r="A35" s="2" t="s">
        <v>138</v>
      </c>
      <c r="B35">
        <v>153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42"/>
  <sheetViews>
    <sheetView topLeftCell="A17" workbookViewId="0">
      <selection activeCell="A42" sqref="A42"/>
    </sheetView>
  </sheetViews>
  <sheetFormatPr defaultRowHeight="14.5" x14ac:dyDescent="0.35"/>
  <cols>
    <col min="1" max="3" width="8.1796875" customWidth="1"/>
    <col min="4" max="4" width="27.26953125" style="11" customWidth="1"/>
    <col min="5" max="5" width="25.81640625" customWidth="1"/>
    <col min="6" max="6" width="26.1796875" customWidth="1"/>
    <col min="7" max="7" width="8.81640625" customWidth="1"/>
    <col min="10" max="10" width="8.7265625" customWidth="1"/>
    <col min="11" max="11" width="13.1796875" customWidth="1"/>
    <col min="12" max="12" width="11.453125" customWidth="1"/>
  </cols>
  <sheetData>
    <row r="1" spans="1:12" x14ac:dyDescent="0.35">
      <c r="G1" s="20" t="s">
        <v>77</v>
      </c>
      <c r="H1" s="20"/>
      <c r="I1" s="20"/>
      <c r="J1" s="21"/>
      <c r="K1" s="3"/>
      <c r="L1" s="3" t="s">
        <v>78</v>
      </c>
    </row>
    <row r="2" spans="1:12" s="1" customFormat="1" x14ac:dyDescent="0.35">
      <c r="A2" s="1" t="s">
        <v>130</v>
      </c>
      <c r="B2" s="1" t="s">
        <v>80</v>
      </c>
      <c r="C2" s="1" t="s">
        <v>135</v>
      </c>
      <c r="D2" s="12" t="s">
        <v>0</v>
      </c>
      <c r="E2" s="1" t="s">
        <v>43</v>
      </c>
      <c r="F2" s="1" t="s">
        <v>63</v>
      </c>
      <c r="G2" s="5" t="s">
        <v>73</v>
      </c>
      <c r="H2" s="5" t="s">
        <v>74</v>
      </c>
      <c r="I2" s="5" t="s">
        <v>84</v>
      </c>
      <c r="J2" s="6" t="s">
        <v>75</v>
      </c>
      <c r="K2" s="5" t="s">
        <v>176</v>
      </c>
      <c r="L2" s="5" t="s">
        <v>76</v>
      </c>
    </row>
    <row r="3" spans="1:12" x14ac:dyDescent="0.35">
      <c r="A3" s="2" t="s">
        <v>68</v>
      </c>
      <c r="B3" s="2" t="s">
        <v>68</v>
      </c>
      <c r="C3" s="2" t="s">
        <v>68</v>
      </c>
      <c r="D3" s="11" t="s">
        <v>67</v>
      </c>
      <c r="E3" s="2" t="s">
        <v>69</v>
      </c>
      <c r="G3">
        <v>0</v>
      </c>
      <c r="H3">
        <v>28</v>
      </c>
      <c r="I3">
        <v>0</v>
      </c>
      <c r="J3" s="7">
        <f>VLOOKUP($D3,[1]Summary!$A$3:$G$14,6,FALSE)</f>
        <v>0</v>
      </c>
      <c r="K3">
        <v>0</v>
      </c>
      <c r="L3">
        <f>VLOOKUP($D3,[1]Summary!$A$3:$G$14,7,FALSE)</f>
        <v>4</v>
      </c>
    </row>
    <row r="4" spans="1:12" x14ac:dyDescent="0.35">
      <c r="A4" t="s">
        <v>1</v>
      </c>
      <c r="B4" t="s">
        <v>1</v>
      </c>
      <c r="C4" t="s">
        <v>1</v>
      </c>
      <c r="D4" s="11" t="s">
        <v>25</v>
      </c>
      <c r="E4" t="s">
        <v>44</v>
      </c>
      <c r="G4">
        <v>18</v>
      </c>
      <c r="H4">
        <f>VLOOKUP($D4,[1]Summary!$A$3:$G$14,5,FALSE)</f>
        <v>32</v>
      </c>
      <c r="I4">
        <v>0</v>
      </c>
      <c r="J4" s="7">
        <f>VLOOKUP($D4,[1]Summary!$A$3:$G$14,6,FALSE)</f>
        <v>10</v>
      </c>
      <c r="K4">
        <v>0</v>
      </c>
      <c r="L4">
        <f>VLOOKUP($D4,[1]Summary!$A$3:$G$14,7,FALSE)</f>
        <v>4</v>
      </c>
    </row>
    <row r="5" spans="1:12" x14ac:dyDescent="0.35">
      <c r="A5" t="s">
        <v>2</v>
      </c>
      <c r="B5" t="s">
        <v>2</v>
      </c>
      <c r="C5" t="s">
        <v>1</v>
      </c>
      <c r="D5" s="11" t="s">
        <v>26</v>
      </c>
      <c r="E5" t="s">
        <v>45</v>
      </c>
      <c r="G5">
        <v>7</v>
      </c>
      <c r="H5">
        <f>VLOOKUP($D5,[1]Summary!$A$3:$G$14,5,FALSE)</f>
        <v>0</v>
      </c>
      <c r="I5">
        <v>0</v>
      </c>
      <c r="J5" s="7">
        <f>VLOOKUP($D5,[1]Summary!$A$3:$G$14,6,FALSE)</f>
        <v>0</v>
      </c>
      <c r="K5">
        <v>0</v>
      </c>
      <c r="L5">
        <f>VLOOKUP($D5,[1]Summary!$A$3:$G$14,7,FALSE)</f>
        <v>4</v>
      </c>
    </row>
    <row r="6" spans="1:12" x14ac:dyDescent="0.35">
      <c r="A6" t="s">
        <v>3</v>
      </c>
      <c r="B6" t="s">
        <v>3</v>
      </c>
      <c r="C6" t="s">
        <v>3</v>
      </c>
      <c r="D6" s="11" t="s">
        <v>27</v>
      </c>
      <c r="E6" t="s">
        <v>46</v>
      </c>
      <c r="G6">
        <v>19</v>
      </c>
      <c r="H6">
        <f>VLOOKUP($D6,[1]Summary!$A$3:$G$14,5,FALSE)</f>
        <v>27</v>
      </c>
      <c r="I6">
        <v>0</v>
      </c>
      <c r="J6" s="7">
        <f>VLOOKUP($D6,[1]Summary!$A$3:$G$14,6,FALSE)</f>
        <v>0</v>
      </c>
      <c r="K6">
        <v>0</v>
      </c>
      <c r="L6">
        <f>VLOOKUP($D6,[1]Summary!$A$3:$G$14,7,FALSE)</f>
        <v>4</v>
      </c>
    </row>
    <row r="7" spans="1:12" x14ac:dyDescent="0.35">
      <c r="A7" s="17" t="s">
        <v>131</v>
      </c>
      <c r="B7" s="17" t="s">
        <v>129</v>
      </c>
      <c r="C7" s="17" t="s">
        <v>129</v>
      </c>
      <c r="D7" s="17" t="s">
        <v>127</v>
      </c>
      <c r="E7" s="17" t="s">
        <v>128</v>
      </c>
      <c r="G7">
        <v>1</v>
      </c>
      <c r="H7">
        <v>0</v>
      </c>
      <c r="I7">
        <v>0</v>
      </c>
      <c r="J7" s="7">
        <v>0</v>
      </c>
      <c r="K7">
        <v>0</v>
      </c>
      <c r="L7">
        <v>0</v>
      </c>
    </row>
    <row r="8" spans="1:12" x14ac:dyDescent="0.35">
      <c r="A8" t="s">
        <v>4</v>
      </c>
      <c r="B8" t="s">
        <v>4</v>
      </c>
      <c r="C8" t="s">
        <v>6</v>
      </c>
      <c r="D8" s="11" t="s">
        <v>28</v>
      </c>
      <c r="E8" t="s">
        <v>47</v>
      </c>
      <c r="G8">
        <v>1</v>
      </c>
      <c r="H8">
        <v>0</v>
      </c>
      <c r="I8">
        <v>0</v>
      </c>
      <c r="J8" s="7">
        <v>0</v>
      </c>
      <c r="K8">
        <v>0</v>
      </c>
      <c r="L8">
        <v>0</v>
      </c>
    </row>
    <row r="9" spans="1:12" x14ac:dyDescent="0.35">
      <c r="A9" t="s">
        <v>5</v>
      </c>
      <c r="B9" t="s">
        <v>5</v>
      </c>
      <c r="C9" t="s">
        <v>5</v>
      </c>
      <c r="D9" s="11" t="s">
        <v>29</v>
      </c>
      <c r="E9" t="s">
        <v>48</v>
      </c>
      <c r="G9">
        <v>10</v>
      </c>
      <c r="H9">
        <f>VLOOKUP($D9,[1]Summary!$A$3:$G$14,5,FALSE)</f>
        <v>21</v>
      </c>
      <c r="I9">
        <v>0</v>
      </c>
      <c r="J9" s="7">
        <f>VLOOKUP($D9,[1]Summary!$A$3:$G$14,6,FALSE)</f>
        <v>0</v>
      </c>
      <c r="K9">
        <v>0</v>
      </c>
      <c r="L9">
        <f>VLOOKUP($D9,[1]Summary!$A$3:$G$14,7,FALSE)</f>
        <v>0</v>
      </c>
    </row>
    <row r="10" spans="1:12" x14ac:dyDescent="0.35">
      <c r="A10" t="s">
        <v>6</v>
      </c>
      <c r="B10" t="s">
        <v>6</v>
      </c>
      <c r="C10" t="s">
        <v>6</v>
      </c>
      <c r="D10" s="11" t="s">
        <v>30</v>
      </c>
      <c r="E10" t="s">
        <v>49</v>
      </c>
      <c r="G10">
        <v>7</v>
      </c>
      <c r="H10">
        <v>0</v>
      </c>
      <c r="I10">
        <v>0</v>
      </c>
      <c r="J10" s="7">
        <v>0</v>
      </c>
      <c r="K10">
        <v>0</v>
      </c>
      <c r="L10">
        <v>0</v>
      </c>
    </row>
    <row r="11" spans="1:12" x14ac:dyDescent="0.35">
      <c r="A11" s="2" t="s">
        <v>71</v>
      </c>
      <c r="B11" s="2" t="s">
        <v>71</v>
      </c>
      <c r="C11" s="2" t="s">
        <v>71</v>
      </c>
      <c r="D11" s="14" t="s">
        <v>70</v>
      </c>
      <c r="E11" s="2" t="s">
        <v>72</v>
      </c>
      <c r="G11">
        <v>0</v>
      </c>
      <c r="H11">
        <f>VLOOKUP($D11,[1]Summary!$A$3:$G$14,5,FALSE)</f>
        <v>26</v>
      </c>
      <c r="I11">
        <v>0</v>
      </c>
      <c r="J11" s="7">
        <f>VLOOKUP($D11,[1]Summary!$A$3:$G$14,6,FALSE)</f>
        <v>10</v>
      </c>
      <c r="K11">
        <v>0</v>
      </c>
      <c r="L11">
        <f>VLOOKUP($D11,[1]Summary!$A$3:$G$14,7,FALSE)</f>
        <v>2</v>
      </c>
    </row>
    <row r="12" spans="1:12" x14ac:dyDescent="0.35">
      <c r="A12" t="s">
        <v>7</v>
      </c>
      <c r="B12" t="s">
        <v>7</v>
      </c>
      <c r="C12" t="s">
        <v>7</v>
      </c>
      <c r="D12" s="11" t="s">
        <v>31</v>
      </c>
      <c r="E12" t="s">
        <v>50</v>
      </c>
      <c r="G12">
        <v>6</v>
      </c>
      <c r="H12">
        <v>0</v>
      </c>
      <c r="I12">
        <v>0</v>
      </c>
      <c r="J12" s="7">
        <v>0</v>
      </c>
      <c r="K12">
        <v>0</v>
      </c>
      <c r="L12">
        <v>0</v>
      </c>
    </row>
    <row r="13" spans="1:12" x14ac:dyDescent="0.35">
      <c r="A13" t="s">
        <v>8</v>
      </c>
      <c r="B13" t="s">
        <v>8</v>
      </c>
      <c r="C13" t="s">
        <v>8</v>
      </c>
      <c r="D13" s="11" t="s">
        <v>32</v>
      </c>
      <c r="E13" t="s">
        <v>51</v>
      </c>
      <c r="F13" t="s">
        <v>64</v>
      </c>
      <c r="G13">
        <v>4</v>
      </c>
      <c r="H13">
        <v>0</v>
      </c>
      <c r="I13">
        <v>0</v>
      </c>
      <c r="J13" s="7">
        <v>0</v>
      </c>
      <c r="K13">
        <v>0</v>
      </c>
      <c r="L13">
        <v>0</v>
      </c>
    </row>
    <row r="14" spans="1:12" x14ac:dyDescent="0.35">
      <c r="A14" t="s">
        <v>9</v>
      </c>
      <c r="B14" t="s">
        <v>9</v>
      </c>
      <c r="C14" t="s">
        <v>8</v>
      </c>
      <c r="D14" s="11" t="s">
        <v>33</v>
      </c>
      <c r="E14" t="s">
        <v>52</v>
      </c>
      <c r="F14" t="s">
        <v>65</v>
      </c>
      <c r="G14">
        <v>4</v>
      </c>
      <c r="H14">
        <v>0</v>
      </c>
      <c r="I14">
        <v>0</v>
      </c>
      <c r="J14" s="7">
        <v>0</v>
      </c>
      <c r="K14">
        <v>0</v>
      </c>
      <c r="L14">
        <v>0</v>
      </c>
    </row>
    <row r="15" spans="1:12" x14ac:dyDescent="0.35">
      <c r="A15" t="s">
        <v>10</v>
      </c>
      <c r="B15" t="s">
        <v>10</v>
      </c>
      <c r="C15" t="s">
        <v>10</v>
      </c>
      <c r="D15" s="11" t="s">
        <v>34</v>
      </c>
      <c r="E15" t="s">
        <v>53</v>
      </c>
      <c r="F15" t="s">
        <v>66</v>
      </c>
      <c r="G15">
        <v>6</v>
      </c>
      <c r="H15">
        <f>VLOOKUP($D15,[1]Summary!$A$3:$G$14,5,FALSE)</f>
        <v>20</v>
      </c>
      <c r="I15">
        <v>40</v>
      </c>
      <c r="J15" s="7">
        <f>VLOOKUP($D15,[1]Summary!$A$3:$G$14,6,FALSE)</f>
        <v>0</v>
      </c>
      <c r="K15">
        <v>0</v>
      </c>
      <c r="L15">
        <f>VLOOKUP($D15,[1]Summary!$A$3:$G$14,7,FALSE)</f>
        <v>6</v>
      </c>
    </row>
    <row r="16" spans="1:12" s="4" customFormat="1" x14ac:dyDescent="0.35">
      <c r="A16" s="4" t="s">
        <v>11</v>
      </c>
      <c r="B16" s="4" t="s">
        <v>11</v>
      </c>
      <c r="C16" s="4" t="s">
        <v>11</v>
      </c>
      <c r="D16" s="16" t="s">
        <v>116</v>
      </c>
      <c r="E16" s="17" t="s">
        <v>117</v>
      </c>
      <c r="G16" s="4">
        <v>1</v>
      </c>
      <c r="H16" s="4">
        <v>0</v>
      </c>
      <c r="I16" s="4">
        <v>0</v>
      </c>
      <c r="J16" s="8">
        <v>0</v>
      </c>
      <c r="K16">
        <v>0</v>
      </c>
      <c r="L16" s="4">
        <v>0</v>
      </c>
    </row>
    <row r="17" spans="1:12" x14ac:dyDescent="0.35">
      <c r="A17" t="s">
        <v>12</v>
      </c>
      <c r="B17" t="s">
        <v>12</v>
      </c>
      <c r="C17" t="s">
        <v>12</v>
      </c>
      <c r="D17" s="11" t="s">
        <v>35</v>
      </c>
      <c r="E17" t="s">
        <v>54</v>
      </c>
      <c r="G17">
        <v>3</v>
      </c>
      <c r="H17">
        <v>0</v>
      </c>
      <c r="I17">
        <v>0</v>
      </c>
      <c r="J17" s="7">
        <v>0</v>
      </c>
      <c r="K17">
        <v>0</v>
      </c>
      <c r="L17">
        <v>0</v>
      </c>
    </row>
    <row r="18" spans="1:12" x14ac:dyDescent="0.35">
      <c r="A18" t="s">
        <v>13</v>
      </c>
      <c r="B18" t="s">
        <v>13</v>
      </c>
      <c r="C18" t="s">
        <v>13</v>
      </c>
      <c r="D18" s="11" t="s">
        <v>36</v>
      </c>
      <c r="E18" t="s">
        <v>95</v>
      </c>
      <c r="G18">
        <v>3</v>
      </c>
      <c r="H18">
        <v>0</v>
      </c>
      <c r="I18">
        <v>0</v>
      </c>
      <c r="J18" s="7">
        <v>0</v>
      </c>
      <c r="K18">
        <v>0</v>
      </c>
      <c r="L18">
        <v>0</v>
      </c>
    </row>
    <row r="19" spans="1:12" x14ac:dyDescent="0.35">
      <c r="A19" t="s">
        <v>14</v>
      </c>
      <c r="B19" t="s">
        <v>14</v>
      </c>
      <c r="C19" t="s">
        <v>14</v>
      </c>
      <c r="D19" s="11" t="s">
        <v>96</v>
      </c>
      <c r="E19" t="s">
        <v>94</v>
      </c>
      <c r="F19" s="15" t="s">
        <v>97</v>
      </c>
      <c r="G19">
        <v>5</v>
      </c>
      <c r="H19">
        <v>0</v>
      </c>
      <c r="I19">
        <v>0</v>
      </c>
      <c r="J19" s="7">
        <v>0</v>
      </c>
      <c r="K19">
        <v>0</v>
      </c>
      <c r="L19">
        <v>0</v>
      </c>
    </row>
    <row r="20" spans="1:12" x14ac:dyDescent="0.35">
      <c r="A20" t="s">
        <v>15</v>
      </c>
      <c r="B20" t="s">
        <v>15</v>
      </c>
      <c r="C20" t="s">
        <v>15</v>
      </c>
      <c r="D20" s="11" t="s">
        <v>37</v>
      </c>
      <c r="E20" t="s">
        <v>55</v>
      </c>
      <c r="G20">
        <v>6</v>
      </c>
      <c r="H20">
        <v>0</v>
      </c>
      <c r="I20">
        <v>0</v>
      </c>
      <c r="J20" s="7">
        <v>0</v>
      </c>
      <c r="K20">
        <v>0</v>
      </c>
      <c r="L20">
        <v>0</v>
      </c>
    </row>
    <row r="21" spans="1:12" x14ac:dyDescent="0.35">
      <c r="A21" t="s">
        <v>16</v>
      </c>
      <c r="B21" t="s">
        <v>16</v>
      </c>
      <c r="C21" t="s">
        <v>16</v>
      </c>
      <c r="D21" s="11" t="s">
        <v>38</v>
      </c>
      <c r="E21" t="s">
        <v>56</v>
      </c>
      <c r="G21">
        <v>3</v>
      </c>
      <c r="H21">
        <v>0</v>
      </c>
      <c r="I21">
        <v>0</v>
      </c>
      <c r="J21" s="7">
        <v>0</v>
      </c>
      <c r="K21">
        <v>0</v>
      </c>
      <c r="L21">
        <v>0</v>
      </c>
    </row>
    <row r="22" spans="1:12" x14ac:dyDescent="0.35">
      <c r="A22" t="s">
        <v>17</v>
      </c>
      <c r="B22" t="s">
        <v>17</v>
      </c>
      <c r="C22" t="s">
        <v>17</v>
      </c>
      <c r="D22" s="11" t="s">
        <v>39</v>
      </c>
      <c r="E22" t="s">
        <v>57</v>
      </c>
      <c r="G22">
        <v>3</v>
      </c>
      <c r="H22">
        <v>0</v>
      </c>
      <c r="I22">
        <v>0</v>
      </c>
      <c r="J22" s="7">
        <v>0</v>
      </c>
      <c r="K22">
        <v>0</v>
      </c>
      <c r="L22">
        <v>0</v>
      </c>
    </row>
    <row r="23" spans="1:12" x14ac:dyDescent="0.35">
      <c r="A23" t="s">
        <v>18</v>
      </c>
      <c r="B23" t="s">
        <v>18</v>
      </c>
      <c r="C23" t="s">
        <v>18</v>
      </c>
      <c r="D23" s="11" t="s">
        <v>40</v>
      </c>
      <c r="E23" t="s">
        <v>58</v>
      </c>
      <c r="G23">
        <v>8</v>
      </c>
      <c r="H23">
        <v>0</v>
      </c>
      <c r="I23">
        <v>0</v>
      </c>
      <c r="J23" s="7">
        <v>0</v>
      </c>
      <c r="K23">
        <v>0</v>
      </c>
      <c r="L23">
        <v>0</v>
      </c>
    </row>
    <row r="24" spans="1:12" x14ac:dyDescent="0.35">
      <c r="A24" t="s">
        <v>19</v>
      </c>
      <c r="B24" t="s">
        <v>19</v>
      </c>
      <c r="C24" t="s">
        <v>19</v>
      </c>
      <c r="D24" s="11" t="s">
        <v>79</v>
      </c>
      <c r="E24" t="s">
        <v>59</v>
      </c>
      <c r="G24">
        <v>2</v>
      </c>
      <c r="H24">
        <v>0</v>
      </c>
      <c r="I24">
        <v>0</v>
      </c>
      <c r="J24" s="7">
        <v>10</v>
      </c>
      <c r="K24">
        <v>0</v>
      </c>
      <c r="L24">
        <v>0</v>
      </c>
    </row>
    <row r="25" spans="1:12" x14ac:dyDescent="0.35">
      <c r="A25" t="s">
        <v>20</v>
      </c>
      <c r="B25" t="s">
        <v>20</v>
      </c>
      <c r="C25" t="s">
        <v>17</v>
      </c>
      <c r="D25" s="11" t="s">
        <v>41</v>
      </c>
      <c r="E25" t="s">
        <v>60</v>
      </c>
      <c r="G25">
        <v>1</v>
      </c>
      <c r="H25">
        <v>0</v>
      </c>
      <c r="I25">
        <v>0</v>
      </c>
      <c r="J25" s="7">
        <v>0</v>
      </c>
      <c r="K25">
        <v>0</v>
      </c>
      <c r="L25">
        <v>0</v>
      </c>
    </row>
    <row r="26" spans="1:12" s="4" customFormat="1" x14ac:dyDescent="0.35">
      <c r="A26" s="17" t="s">
        <v>118</v>
      </c>
      <c r="B26" s="9" t="s">
        <v>21</v>
      </c>
      <c r="C26" s="9" t="s">
        <v>21</v>
      </c>
      <c r="D26" s="16" t="s">
        <v>119</v>
      </c>
      <c r="E26" s="17" t="s">
        <v>120</v>
      </c>
      <c r="G26" s="4">
        <v>10</v>
      </c>
      <c r="H26" s="4">
        <v>0</v>
      </c>
      <c r="I26" s="4">
        <v>0</v>
      </c>
      <c r="J26" s="8">
        <v>0</v>
      </c>
      <c r="K26">
        <v>0</v>
      </c>
      <c r="L26" s="4">
        <v>0</v>
      </c>
    </row>
    <row r="27" spans="1:12" s="4" customFormat="1" x14ac:dyDescent="0.35">
      <c r="A27" s="17" t="s">
        <v>121</v>
      </c>
      <c r="B27" s="9" t="s">
        <v>21</v>
      </c>
      <c r="C27" s="9" t="s">
        <v>21</v>
      </c>
      <c r="D27" s="16" t="s">
        <v>119</v>
      </c>
      <c r="E27" s="17" t="s">
        <v>122</v>
      </c>
      <c r="G27" s="4">
        <v>8</v>
      </c>
      <c r="H27" s="4">
        <v>0</v>
      </c>
      <c r="I27" s="4">
        <v>0</v>
      </c>
      <c r="J27" s="8">
        <v>0</v>
      </c>
      <c r="K27">
        <v>0</v>
      </c>
      <c r="L27" s="4">
        <v>0</v>
      </c>
    </row>
    <row r="28" spans="1:12" s="4" customFormat="1" x14ac:dyDescent="0.35">
      <c r="A28" s="17" t="s">
        <v>123</v>
      </c>
      <c r="B28" s="9" t="s">
        <v>21</v>
      </c>
      <c r="C28" s="9" t="s">
        <v>21</v>
      </c>
      <c r="D28" s="16" t="s">
        <v>119</v>
      </c>
      <c r="E28" s="17" t="s">
        <v>124</v>
      </c>
      <c r="G28" s="4">
        <v>1</v>
      </c>
      <c r="H28" s="4">
        <v>0</v>
      </c>
      <c r="I28" s="4">
        <v>0</v>
      </c>
      <c r="J28" s="8">
        <v>0</v>
      </c>
      <c r="K28">
        <v>0</v>
      </c>
      <c r="L28" s="4">
        <v>0</v>
      </c>
    </row>
    <row r="29" spans="1:12" s="9" customFormat="1" x14ac:dyDescent="0.35">
      <c r="A29" s="9" t="s">
        <v>21</v>
      </c>
      <c r="B29" s="9" t="s">
        <v>21</v>
      </c>
      <c r="C29" s="9" t="s">
        <v>21</v>
      </c>
      <c r="D29" s="13" t="s">
        <v>81</v>
      </c>
      <c r="E29" s="9" t="s">
        <v>82</v>
      </c>
      <c r="G29" s="9">
        <v>0</v>
      </c>
      <c r="H29" s="9">
        <v>26</v>
      </c>
      <c r="I29" s="9">
        <v>0</v>
      </c>
      <c r="J29" s="10">
        <v>0</v>
      </c>
      <c r="K29">
        <v>0</v>
      </c>
      <c r="L29" s="9">
        <v>0</v>
      </c>
    </row>
    <row r="30" spans="1:12" s="4" customFormat="1" x14ac:dyDescent="0.35">
      <c r="A30" s="17" t="s">
        <v>22</v>
      </c>
      <c r="B30" s="17" t="s">
        <v>22</v>
      </c>
      <c r="C30" s="17" t="s">
        <v>22</v>
      </c>
      <c r="D30" s="16" t="s">
        <v>125</v>
      </c>
      <c r="E30" s="17" t="s">
        <v>126</v>
      </c>
      <c r="G30" s="4">
        <v>1</v>
      </c>
      <c r="H30" s="4">
        <v>0</v>
      </c>
      <c r="I30" s="4">
        <v>0</v>
      </c>
      <c r="J30" s="8">
        <v>0</v>
      </c>
      <c r="K30">
        <v>0</v>
      </c>
      <c r="L30" s="4">
        <v>0</v>
      </c>
    </row>
    <row r="31" spans="1:12" x14ac:dyDescent="0.35">
      <c r="A31" t="s">
        <v>23</v>
      </c>
      <c r="B31" t="s">
        <v>23</v>
      </c>
      <c r="C31" t="s">
        <v>23</v>
      </c>
      <c r="D31" s="16" t="s">
        <v>134</v>
      </c>
      <c r="E31" t="s">
        <v>61</v>
      </c>
      <c r="G31">
        <v>11</v>
      </c>
      <c r="H31">
        <v>0</v>
      </c>
      <c r="I31">
        <v>0</v>
      </c>
      <c r="J31" s="7">
        <v>0</v>
      </c>
      <c r="K31">
        <v>0</v>
      </c>
      <c r="L31">
        <v>0</v>
      </c>
    </row>
    <row r="32" spans="1:12" x14ac:dyDescent="0.35">
      <c r="A32" t="s">
        <v>24</v>
      </c>
      <c r="B32" t="s">
        <v>24</v>
      </c>
      <c r="C32" t="s">
        <v>24</v>
      </c>
      <c r="D32" s="11" t="s">
        <v>83</v>
      </c>
      <c r="E32" t="s">
        <v>62</v>
      </c>
      <c r="G32">
        <v>4</v>
      </c>
      <c r="H32">
        <v>0</v>
      </c>
      <c r="I32">
        <v>0</v>
      </c>
      <c r="J32" s="7">
        <v>0</v>
      </c>
      <c r="K32">
        <v>0</v>
      </c>
      <c r="L32">
        <v>0</v>
      </c>
    </row>
    <row r="33" spans="1:12" x14ac:dyDescent="0.35">
      <c r="A33" t="s">
        <v>85</v>
      </c>
      <c r="B33" t="s">
        <v>85</v>
      </c>
      <c r="C33" t="s">
        <v>85</v>
      </c>
      <c r="D33" s="11" t="s">
        <v>90</v>
      </c>
      <c r="E33" t="s">
        <v>89</v>
      </c>
      <c r="G33">
        <v>0</v>
      </c>
      <c r="H33">
        <v>0</v>
      </c>
      <c r="I33">
        <v>41</v>
      </c>
      <c r="J33" s="7">
        <v>0</v>
      </c>
      <c r="K33">
        <v>0</v>
      </c>
      <c r="L33">
        <v>0</v>
      </c>
    </row>
    <row r="34" spans="1:12" x14ac:dyDescent="0.35">
      <c r="A34" s="2" t="s">
        <v>86</v>
      </c>
      <c r="B34" s="2" t="s">
        <v>86</v>
      </c>
      <c r="C34" s="2" t="s">
        <v>86</v>
      </c>
      <c r="D34" s="11" t="s">
        <v>92</v>
      </c>
      <c r="E34" s="2" t="s">
        <v>93</v>
      </c>
      <c r="G34">
        <v>0</v>
      </c>
      <c r="H34">
        <v>0</v>
      </c>
      <c r="I34">
        <v>50</v>
      </c>
      <c r="J34" s="7">
        <v>0</v>
      </c>
      <c r="K34">
        <v>0</v>
      </c>
      <c r="L34">
        <v>0</v>
      </c>
    </row>
    <row r="35" spans="1:12" x14ac:dyDescent="0.35">
      <c r="A35" s="2" t="s">
        <v>87</v>
      </c>
      <c r="B35" s="2" t="s">
        <v>87</v>
      </c>
      <c r="C35" s="2" t="s">
        <v>87</v>
      </c>
      <c r="D35" s="14" t="s">
        <v>91</v>
      </c>
      <c r="E35" s="2" t="s">
        <v>88</v>
      </c>
      <c r="G35">
        <v>0</v>
      </c>
      <c r="H35">
        <v>0</v>
      </c>
      <c r="I35">
        <v>40</v>
      </c>
      <c r="J35" s="7">
        <v>0</v>
      </c>
      <c r="K35">
        <v>0</v>
      </c>
      <c r="L35">
        <v>0</v>
      </c>
    </row>
    <row r="36" spans="1:12" x14ac:dyDescent="0.35">
      <c r="A36" t="s">
        <v>170</v>
      </c>
      <c r="B36" t="s">
        <v>170</v>
      </c>
      <c r="C36" t="s">
        <v>170</v>
      </c>
      <c r="D36" s="19" t="s">
        <v>171</v>
      </c>
      <c r="E36" t="s">
        <v>175</v>
      </c>
      <c r="G36">
        <v>0</v>
      </c>
      <c r="H36">
        <v>0</v>
      </c>
      <c r="I36">
        <v>0</v>
      </c>
      <c r="J36" s="7">
        <v>0</v>
      </c>
      <c r="K36">
        <v>17</v>
      </c>
      <c r="L36">
        <v>0</v>
      </c>
    </row>
    <row r="38" spans="1:12" x14ac:dyDescent="0.35">
      <c r="A38" s="17" t="s">
        <v>182</v>
      </c>
      <c r="B38" s="17"/>
      <c r="C38" s="17"/>
      <c r="D38" s="16"/>
      <c r="E38" s="17"/>
      <c r="G38">
        <f>SUM(G3:G36)</f>
        <v>153</v>
      </c>
      <c r="H38">
        <f t="shared" ref="H38:L38" si="0">SUM(H3:H36)</f>
        <v>180</v>
      </c>
      <c r="I38">
        <f t="shared" si="0"/>
        <v>171</v>
      </c>
      <c r="J38">
        <f t="shared" si="0"/>
        <v>30</v>
      </c>
      <c r="K38">
        <f t="shared" si="0"/>
        <v>17</v>
      </c>
      <c r="L38">
        <f t="shared" si="0"/>
        <v>24</v>
      </c>
    </row>
    <row r="39" spans="1:12" x14ac:dyDescent="0.35">
      <c r="A39" s="17"/>
      <c r="B39" s="17"/>
      <c r="C39" s="17"/>
      <c r="D39" s="16"/>
      <c r="E39" s="17"/>
    </row>
    <row r="40" spans="1:12" x14ac:dyDescent="0.35">
      <c r="A40" s="17"/>
      <c r="B40" s="17"/>
      <c r="C40" s="17"/>
      <c r="D40" s="16"/>
      <c r="E40" s="17"/>
    </row>
    <row r="42" spans="1:12" x14ac:dyDescent="0.35">
      <c r="A42" t="s">
        <v>183</v>
      </c>
    </row>
  </sheetData>
  <sortState xmlns:xlrd2="http://schemas.microsoft.com/office/spreadsheetml/2017/richdata2" ref="A2:E38">
    <sortCondition ref="A2:A38"/>
  </sortState>
  <mergeCells count="1">
    <mergeCell ref="G1:J1"/>
  </mergeCells>
  <hyperlinks>
    <hyperlink ref="D11" r:id="rId1" tooltip="Taxon Report" display="https://www.calflora.org/cgi-bin/species_query.cgi?where-calrecnum=1834" xr:uid="{00000000-0004-0000-0100-000000000000}"/>
    <hyperlink ref="F19" r:id="rId2" tooltip="Taxon Report" display="https://www.calflora.org/cgi-bin/species_query.cgi?where-calrecnum=11670" xr:uid="{00000000-0004-0000-0100-000001000000}"/>
  </hyperlinks>
  <pageMargins left="0.7" right="0.7" top="0.75" bottom="0.75" header="0.3" footer="0.3"/>
  <pageSetup orientation="portrait" verticalDpi="0" r:id="rId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45"/>
  <sheetViews>
    <sheetView tabSelected="1" topLeftCell="A26" workbookViewId="0">
      <selection activeCell="A43" sqref="A43"/>
    </sheetView>
  </sheetViews>
  <sheetFormatPr defaultColWidth="18.7265625" defaultRowHeight="14.5" x14ac:dyDescent="0.35"/>
  <cols>
    <col min="4" max="4" width="28.54296875" customWidth="1"/>
  </cols>
  <sheetData>
    <row r="1" spans="1:7" x14ac:dyDescent="0.35">
      <c r="A1" t="s">
        <v>150</v>
      </c>
      <c r="B1" t="s">
        <v>80</v>
      </c>
      <c r="C1" t="s">
        <v>155</v>
      </c>
      <c r="D1" t="s">
        <v>0</v>
      </c>
      <c r="E1" t="s">
        <v>43</v>
      </c>
      <c r="F1" t="s">
        <v>63</v>
      </c>
      <c r="G1" t="s">
        <v>156</v>
      </c>
    </row>
    <row r="2" spans="1:7" x14ac:dyDescent="0.35">
      <c r="A2" t="s">
        <v>68</v>
      </c>
      <c r="B2" t="str">
        <f>LEFT(A2,4)</f>
        <v>AMAL</v>
      </c>
      <c r="C2" t="str">
        <f>LEFT(B2,4)</f>
        <v>AMAL</v>
      </c>
      <c r="D2" t="s">
        <v>67</v>
      </c>
      <c r="E2" t="s">
        <v>69</v>
      </c>
    </row>
    <row r="3" spans="1:7" x14ac:dyDescent="0.35">
      <c r="A3" t="s">
        <v>1</v>
      </c>
      <c r="B3" t="str">
        <f t="shared" ref="B3:C36" si="0">LEFT(A3,4)</f>
        <v>ARPA</v>
      </c>
      <c r="C3" t="str">
        <f t="shared" si="0"/>
        <v>ARPA</v>
      </c>
      <c r="D3" t="s">
        <v>25</v>
      </c>
      <c r="E3" t="s">
        <v>44</v>
      </c>
    </row>
    <row r="4" spans="1:7" x14ac:dyDescent="0.35">
      <c r="A4" t="s">
        <v>2</v>
      </c>
      <c r="B4" t="str">
        <f t="shared" si="0"/>
        <v>ARVI</v>
      </c>
      <c r="C4" t="str">
        <f t="shared" si="0"/>
        <v>ARVI</v>
      </c>
      <c r="D4" t="s">
        <v>26</v>
      </c>
      <c r="E4" t="s">
        <v>45</v>
      </c>
    </row>
    <row r="5" spans="1:7" x14ac:dyDescent="0.35">
      <c r="A5" t="s">
        <v>153</v>
      </c>
      <c r="B5" t="s">
        <v>153</v>
      </c>
      <c r="C5" t="s">
        <v>10</v>
      </c>
      <c r="D5" t="s">
        <v>66</v>
      </c>
      <c r="E5" t="s">
        <v>53</v>
      </c>
      <c r="F5" t="s">
        <v>157</v>
      </c>
      <c r="G5" t="s">
        <v>154</v>
      </c>
    </row>
    <row r="6" spans="1:7" x14ac:dyDescent="0.35">
      <c r="A6" t="s">
        <v>3</v>
      </c>
      <c r="B6" t="str">
        <f t="shared" si="0"/>
        <v>CECO</v>
      </c>
      <c r="C6" t="str">
        <f t="shared" si="0"/>
        <v>CECO</v>
      </c>
      <c r="D6" t="s">
        <v>27</v>
      </c>
      <c r="E6" t="s">
        <v>46</v>
      </c>
    </row>
    <row r="7" spans="1:7" x14ac:dyDescent="0.35">
      <c r="A7" t="s">
        <v>140</v>
      </c>
      <c r="B7" t="s">
        <v>129</v>
      </c>
      <c r="C7" t="s">
        <v>129</v>
      </c>
      <c r="D7" t="s">
        <v>127</v>
      </c>
      <c r="E7" t="s">
        <v>128</v>
      </c>
    </row>
    <row r="8" spans="1:7" x14ac:dyDescent="0.35">
      <c r="A8" t="s">
        <v>4</v>
      </c>
      <c r="B8" t="str">
        <f t="shared" si="0"/>
        <v>CEFR</v>
      </c>
      <c r="C8" t="s">
        <v>6</v>
      </c>
      <c r="D8" t="s">
        <v>28</v>
      </c>
      <c r="E8" t="s">
        <v>47</v>
      </c>
      <c r="G8" t="s">
        <v>158</v>
      </c>
    </row>
    <row r="9" spans="1:7" x14ac:dyDescent="0.35">
      <c r="A9" t="s">
        <v>5</v>
      </c>
      <c r="B9" t="str">
        <f t="shared" si="0"/>
        <v>CEIN</v>
      </c>
      <c r="C9" t="str">
        <f t="shared" si="0"/>
        <v>CEIN</v>
      </c>
      <c r="D9" t="s">
        <v>29</v>
      </c>
      <c r="E9" t="s">
        <v>48</v>
      </c>
    </row>
    <row r="10" spans="1:7" x14ac:dyDescent="0.35">
      <c r="A10" t="s">
        <v>6</v>
      </c>
      <c r="B10" t="str">
        <f t="shared" si="0"/>
        <v>CEPI</v>
      </c>
      <c r="C10" t="str">
        <f t="shared" si="0"/>
        <v>CEPI</v>
      </c>
      <c r="D10" t="s">
        <v>30</v>
      </c>
      <c r="E10" t="s">
        <v>49</v>
      </c>
      <c r="G10" t="s">
        <v>159</v>
      </c>
    </row>
    <row r="11" spans="1:7" x14ac:dyDescent="0.35">
      <c r="A11" t="s">
        <v>141</v>
      </c>
      <c r="B11" t="str">
        <f t="shared" si="0"/>
        <v>CECU</v>
      </c>
      <c r="C11" t="str">
        <f t="shared" si="0"/>
        <v>CECU</v>
      </c>
      <c r="D11" t="s">
        <v>142</v>
      </c>
      <c r="E11" t="s">
        <v>143</v>
      </c>
    </row>
    <row r="12" spans="1:7" x14ac:dyDescent="0.35">
      <c r="A12" t="s">
        <v>71</v>
      </c>
      <c r="B12" t="str">
        <f t="shared" si="0"/>
        <v>CEVE</v>
      </c>
      <c r="C12" t="str">
        <f t="shared" si="0"/>
        <v>CEVE</v>
      </c>
      <c r="D12" t="s">
        <v>70</v>
      </c>
      <c r="E12" t="s">
        <v>72</v>
      </c>
    </row>
    <row r="13" spans="1:7" x14ac:dyDescent="0.35">
      <c r="A13" t="s">
        <v>7</v>
      </c>
      <c r="B13" t="str">
        <f t="shared" si="0"/>
        <v>CHFO</v>
      </c>
      <c r="C13" t="str">
        <f t="shared" si="0"/>
        <v>CHFO</v>
      </c>
      <c r="D13" t="s">
        <v>31</v>
      </c>
      <c r="E13" t="s">
        <v>50</v>
      </c>
    </row>
    <row r="14" spans="1:7" x14ac:dyDescent="0.35">
      <c r="A14" t="s">
        <v>8</v>
      </c>
      <c r="B14" t="str">
        <f t="shared" si="0"/>
        <v>CHNA</v>
      </c>
      <c r="C14" t="str">
        <f t="shared" si="0"/>
        <v>CHNA</v>
      </c>
      <c r="D14" t="s">
        <v>32</v>
      </c>
      <c r="E14" t="s">
        <v>51</v>
      </c>
      <c r="F14" t="s">
        <v>64</v>
      </c>
    </row>
    <row r="15" spans="1:7" x14ac:dyDescent="0.35">
      <c r="A15" t="s">
        <v>9</v>
      </c>
      <c r="B15" t="str">
        <f t="shared" si="0"/>
        <v>CHPA</v>
      </c>
      <c r="C15" t="str">
        <f t="shared" si="0"/>
        <v>CHPA</v>
      </c>
      <c r="D15" t="s">
        <v>33</v>
      </c>
      <c r="E15" t="s">
        <v>52</v>
      </c>
      <c r="F15" t="s">
        <v>65</v>
      </c>
    </row>
    <row r="16" spans="1:7" x14ac:dyDescent="0.35">
      <c r="A16" t="s">
        <v>10</v>
      </c>
      <c r="B16" t="str">
        <f t="shared" si="0"/>
        <v>CHSE</v>
      </c>
      <c r="C16" t="str">
        <f t="shared" si="0"/>
        <v>CHSE</v>
      </c>
      <c r="D16" t="s">
        <v>34</v>
      </c>
      <c r="E16" t="s">
        <v>53</v>
      </c>
      <c r="F16" t="s">
        <v>66</v>
      </c>
    </row>
    <row r="17" spans="1:7" x14ac:dyDescent="0.35">
      <c r="A17" t="s">
        <v>11</v>
      </c>
      <c r="B17" t="str">
        <f t="shared" si="0"/>
        <v>CONU</v>
      </c>
      <c r="C17" t="str">
        <f t="shared" si="0"/>
        <v>CONU</v>
      </c>
      <c r="D17" t="s">
        <v>116</v>
      </c>
      <c r="E17" t="s">
        <v>117</v>
      </c>
    </row>
    <row r="18" spans="1:7" x14ac:dyDescent="0.35">
      <c r="A18" t="s">
        <v>12</v>
      </c>
      <c r="B18" t="str">
        <f t="shared" si="0"/>
        <v>ERCA</v>
      </c>
      <c r="C18" t="str">
        <f t="shared" si="0"/>
        <v>ERCA</v>
      </c>
      <c r="D18" t="s">
        <v>35</v>
      </c>
      <c r="E18" t="s">
        <v>54</v>
      </c>
    </row>
    <row r="19" spans="1:7" x14ac:dyDescent="0.35">
      <c r="A19" t="s">
        <v>13</v>
      </c>
      <c r="B19" t="str">
        <f t="shared" si="0"/>
        <v>HEAR</v>
      </c>
      <c r="C19" t="str">
        <f t="shared" si="0"/>
        <v>HEAR</v>
      </c>
      <c r="D19" t="s">
        <v>36</v>
      </c>
      <c r="E19" t="s">
        <v>144</v>
      </c>
    </row>
    <row r="20" spans="1:7" x14ac:dyDescent="0.35">
      <c r="A20" t="s">
        <v>14</v>
      </c>
      <c r="B20" t="str">
        <f t="shared" si="0"/>
        <v>NALO</v>
      </c>
      <c r="C20" t="str">
        <f t="shared" si="0"/>
        <v>NALO</v>
      </c>
      <c r="D20" t="s">
        <v>96</v>
      </c>
      <c r="E20" t="s">
        <v>145</v>
      </c>
      <c r="F20" s="15" t="s">
        <v>97</v>
      </c>
    </row>
    <row r="21" spans="1:7" x14ac:dyDescent="0.35">
      <c r="A21" t="s">
        <v>170</v>
      </c>
      <c r="B21" t="str">
        <f t="shared" si="0"/>
        <v>NODE</v>
      </c>
      <c r="C21" t="str">
        <f t="shared" si="0"/>
        <v>NODE</v>
      </c>
      <c r="D21" t="s">
        <v>171</v>
      </c>
      <c r="E21" t="s">
        <v>172</v>
      </c>
      <c r="F21" s="15" t="s">
        <v>174</v>
      </c>
      <c r="G21" t="s">
        <v>173</v>
      </c>
    </row>
    <row r="22" spans="1:7" x14ac:dyDescent="0.35">
      <c r="A22" t="s">
        <v>15</v>
      </c>
      <c r="B22" t="str">
        <f t="shared" si="0"/>
        <v>PREM</v>
      </c>
      <c r="C22" t="str">
        <f t="shared" si="0"/>
        <v>PREM</v>
      </c>
      <c r="D22" t="s">
        <v>37</v>
      </c>
      <c r="E22" t="s">
        <v>55</v>
      </c>
    </row>
    <row r="23" spans="1:7" x14ac:dyDescent="0.35">
      <c r="A23" t="s">
        <v>16</v>
      </c>
      <c r="B23" t="str">
        <f t="shared" si="0"/>
        <v>PUTR</v>
      </c>
      <c r="C23" t="str">
        <f t="shared" si="0"/>
        <v>PUTR</v>
      </c>
      <c r="D23" t="s">
        <v>38</v>
      </c>
      <c r="E23" t="s">
        <v>56</v>
      </c>
    </row>
    <row r="24" spans="1:7" x14ac:dyDescent="0.35">
      <c r="A24" t="s">
        <v>17</v>
      </c>
      <c r="B24" t="str">
        <f t="shared" si="0"/>
        <v>QUCH</v>
      </c>
      <c r="C24" t="str">
        <f t="shared" si="0"/>
        <v>QUCH</v>
      </c>
      <c r="D24" t="s">
        <v>39</v>
      </c>
      <c r="E24" t="s">
        <v>57</v>
      </c>
      <c r="G24" t="s">
        <v>160</v>
      </c>
    </row>
    <row r="25" spans="1:7" x14ac:dyDescent="0.35">
      <c r="A25" t="s">
        <v>18</v>
      </c>
      <c r="B25" t="str">
        <f t="shared" si="0"/>
        <v>QUKE</v>
      </c>
      <c r="C25" t="str">
        <f t="shared" si="0"/>
        <v>QUKE</v>
      </c>
      <c r="D25" t="s">
        <v>40</v>
      </c>
      <c r="E25" t="s">
        <v>58</v>
      </c>
    </row>
    <row r="26" spans="1:7" x14ac:dyDescent="0.35">
      <c r="A26" t="s">
        <v>19</v>
      </c>
      <c r="B26" t="str">
        <f t="shared" si="0"/>
        <v>QUVA</v>
      </c>
      <c r="C26" t="s">
        <v>17</v>
      </c>
      <c r="D26" t="s">
        <v>79</v>
      </c>
      <c r="E26" t="s">
        <v>59</v>
      </c>
      <c r="G26" t="s">
        <v>160</v>
      </c>
    </row>
    <row r="27" spans="1:7" x14ac:dyDescent="0.35">
      <c r="A27" t="s">
        <v>20</v>
      </c>
      <c r="B27" t="str">
        <f t="shared" si="0"/>
        <v>QUWI</v>
      </c>
      <c r="C27" t="s">
        <v>17</v>
      </c>
      <c r="D27" t="s">
        <v>41</v>
      </c>
      <c r="E27" t="s">
        <v>60</v>
      </c>
      <c r="G27" t="s">
        <v>161</v>
      </c>
    </row>
    <row r="28" spans="1:7" x14ac:dyDescent="0.35">
      <c r="A28" t="s">
        <v>146</v>
      </c>
      <c r="B28" t="s">
        <v>151</v>
      </c>
      <c r="C28" t="s">
        <v>21</v>
      </c>
      <c r="D28" t="s">
        <v>119</v>
      </c>
      <c r="E28" t="s">
        <v>120</v>
      </c>
      <c r="G28" t="s">
        <v>162</v>
      </c>
    </row>
    <row r="29" spans="1:7" x14ac:dyDescent="0.35">
      <c r="A29" t="s">
        <v>147</v>
      </c>
      <c r="B29" t="s">
        <v>152</v>
      </c>
      <c r="C29" t="s">
        <v>21</v>
      </c>
      <c r="D29" t="s">
        <v>119</v>
      </c>
      <c r="E29" t="s">
        <v>122</v>
      </c>
      <c r="G29" t="s">
        <v>163</v>
      </c>
    </row>
    <row r="30" spans="1:7" x14ac:dyDescent="0.35">
      <c r="A30" t="s">
        <v>148</v>
      </c>
      <c r="B30" t="s">
        <v>21</v>
      </c>
      <c r="C30" t="s">
        <v>21</v>
      </c>
      <c r="D30" t="s">
        <v>119</v>
      </c>
      <c r="E30" t="s">
        <v>124</v>
      </c>
      <c r="G30" t="s">
        <v>164</v>
      </c>
    </row>
    <row r="31" spans="1:7" x14ac:dyDescent="0.35">
      <c r="A31" t="s">
        <v>119</v>
      </c>
      <c r="B31" t="s">
        <v>21</v>
      </c>
      <c r="C31" t="s">
        <v>21</v>
      </c>
      <c r="D31" t="s">
        <v>119</v>
      </c>
      <c r="E31" t="s">
        <v>124</v>
      </c>
      <c r="G31" t="s">
        <v>165</v>
      </c>
    </row>
    <row r="32" spans="1:7" x14ac:dyDescent="0.35">
      <c r="A32" t="s">
        <v>21</v>
      </c>
      <c r="B32" t="str">
        <f t="shared" si="0"/>
        <v>RISP</v>
      </c>
      <c r="C32" t="s">
        <v>21</v>
      </c>
      <c r="D32" t="s">
        <v>81</v>
      </c>
      <c r="E32" t="s">
        <v>82</v>
      </c>
      <c r="G32" t="s">
        <v>166</v>
      </c>
    </row>
    <row r="33" spans="1:7" x14ac:dyDescent="0.35">
      <c r="A33" t="s">
        <v>22</v>
      </c>
      <c r="B33" t="str">
        <f t="shared" si="0"/>
        <v>SAEA</v>
      </c>
      <c r="C33" t="str">
        <f t="shared" si="0"/>
        <v>SAEA</v>
      </c>
      <c r="D33" t="s">
        <v>125</v>
      </c>
      <c r="E33" t="s">
        <v>126</v>
      </c>
    </row>
    <row r="34" spans="1:7" x14ac:dyDescent="0.35">
      <c r="A34" t="s">
        <v>23</v>
      </c>
      <c r="B34" t="str">
        <f t="shared" si="0"/>
        <v>SYMP</v>
      </c>
      <c r="C34" t="str">
        <f t="shared" si="0"/>
        <v>SYMP</v>
      </c>
      <c r="D34" t="s">
        <v>149</v>
      </c>
      <c r="E34" t="s">
        <v>61</v>
      </c>
    </row>
    <row r="35" spans="1:7" x14ac:dyDescent="0.35">
      <c r="A35" t="s">
        <v>24</v>
      </c>
      <c r="B35" t="str">
        <f t="shared" si="0"/>
        <v>TODI</v>
      </c>
      <c r="C35" t="str">
        <f t="shared" si="0"/>
        <v>TODI</v>
      </c>
      <c r="D35" t="s">
        <v>83</v>
      </c>
      <c r="E35" t="s">
        <v>62</v>
      </c>
    </row>
    <row r="36" spans="1:7" x14ac:dyDescent="0.35">
      <c r="A36" t="s">
        <v>170</v>
      </c>
      <c r="B36" t="str">
        <f t="shared" si="0"/>
        <v>NODE</v>
      </c>
      <c r="C36" t="s">
        <v>170</v>
      </c>
      <c r="D36" s="19" t="s">
        <v>171</v>
      </c>
      <c r="E36" t="s">
        <v>177</v>
      </c>
    </row>
    <row r="37" spans="1:7" x14ac:dyDescent="0.35">
      <c r="D37" s="19"/>
    </row>
    <row r="38" spans="1:7" x14ac:dyDescent="0.35">
      <c r="A38" t="s">
        <v>207</v>
      </c>
    </row>
    <row r="39" spans="1:7" x14ac:dyDescent="0.35">
      <c r="A39" t="s">
        <v>184</v>
      </c>
      <c r="B39" t="s">
        <v>184</v>
      </c>
      <c r="C39" t="s">
        <v>184</v>
      </c>
      <c r="D39" t="s">
        <v>200</v>
      </c>
      <c r="E39" t="s">
        <v>191</v>
      </c>
      <c r="G39" t="s">
        <v>208</v>
      </c>
    </row>
    <row r="40" spans="1:7" x14ac:dyDescent="0.35">
      <c r="A40" t="s">
        <v>185</v>
      </c>
      <c r="B40" t="s">
        <v>185</v>
      </c>
      <c r="C40" t="s">
        <v>185</v>
      </c>
      <c r="D40" t="s">
        <v>201</v>
      </c>
      <c r="E40" t="s">
        <v>192</v>
      </c>
      <c r="G40" t="s">
        <v>208</v>
      </c>
    </row>
    <row r="41" spans="1:7" x14ac:dyDescent="0.35">
      <c r="A41" t="s">
        <v>186</v>
      </c>
      <c r="B41" t="s">
        <v>186</v>
      </c>
      <c r="C41" t="s">
        <v>186</v>
      </c>
      <c r="D41" t="s">
        <v>202</v>
      </c>
      <c r="E41" t="s">
        <v>193</v>
      </c>
      <c r="G41" t="s">
        <v>208</v>
      </c>
    </row>
    <row r="42" spans="1:7" x14ac:dyDescent="0.35">
      <c r="A42" t="s">
        <v>187</v>
      </c>
      <c r="B42" t="s">
        <v>187</v>
      </c>
      <c r="C42" t="s">
        <v>187</v>
      </c>
      <c r="D42" t="s">
        <v>203</v>
      </c>
      <c r="E42" t="s">
        <v>195</v>
      </c>
      <c r="F42" t="s">
        <v>196</v>
      </c>
      <c r="G42" t="s">
        <v>208</v>
      </c>
    </row>
    <row r="43" spans="1:7" x14ac:dyDescent="0.35">
      <c r="A43" t="s">
        <v>188</v>
      </c>
      <c r="B43" t="s">
        <v>188</v>
      </c>
      <c r="C43" t="s">
        <v>188</v>
      </c>
      <c r="D43" t="s">
        <v>204</v>
      </c>
      <c r="E43" t="s">
        <v>194</v>
      </c>
      <c r="G43" t="s">
        <v>208</v>
      </c>
    </row>
    <row r="44" spans="1:7" x14ac:dyDescent="0.35">
      <c r="A44" t="s">
        <v>189</v>
      </c>
      <c r="B44" t="s">
        <v>189</v>
      </c>
      <c r="C44" t="s">
        <v>189</v>
      </c>
      <c r="D44" t="s">
        <v>205</v>
      </c>
      <c r="E44" t="s">
        <v>197</v>
      </c>
      <c r="G44" t="s">
        <v>208</v>
      </c>
    </row>
    <row r="45" spans="1:7" x14ac:dyDescent="0.35">
      <c r="A45" t="s">
        <v>190</v>
      </c>
      <c r="B45" t="s">
        <v>190</v>
      </c>
      <c r="C45" t="s">
        <v>190</v>
      </c>
      <c r="D45" t="s">
        <v>206</v>
      </c>
      <c r="E45" t="s">
        <v>199</v>
      </c>
      <c r="F45" t="s">
        <v>198</v>
      </c>
      <c r="G45" t="s">
        <v>208</v>
      </c>
    </row>
  </sheetData>
  <hyperlinks>
    <hyperlink ref="F20" r:id="rId1" tooltip="Taxon Report" display="https://www.calflora.org/cgi-bin/species_query.cgi?where-calrecnum=11670" xr:uid="{00000000-0004-0000-0200-000000000000}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7BC5B7-CFDF-4C88-8E67-0EECE03C8FA7}">
  <dimension ref="A1:D18"/>
  <sheetViews>
    <sheetView workbookViewId="0">
      <selection activeCell="J26" sqref="J26:J28"/>
    </sheetView>
  </sheetViews>
  <sheetFormatPr defaultRowHeight="14.5" x14ac:dyDescent="0.35"/>
  <sheetData>
    <row r="1" spans="1:4" x14ac:dyDescent="0.35">
      <c r="A1" t="s">
        <v>99</v>
      </c>
      <c r="B1" t="s">
        <v>167</v>
      </c>
      <c r="C1" t="s">
        <v>168</v>
      </c>
      <c r="D1" t="s">
        <v>169</v>
      </c>
    </row>
    <row r="2" spans="1:4" x14ac:dyDescent="0.35">
      <c r="A2">
        <v>1</v>
      </c>
      <c r="B2">
        <v>0.95</v>
      </c>
      <c r="C2">
        <v>1.24</v>
      </c>
      <c r="D2" t="s">
        <v>170</v>
      </c>
    </row>
    <row r="3" spans="1:4" x14ac:dyDescent="0.35">
      <c r="A3">
        <v>2</v>
      </c>
      <c r="B3">
        <v>0.85799999999999998</v>
      </c>
      <c r="C3">
        <v>1.29</v>
      </c>
      <c r="D3" t="s">
        <v>170</v>
      </c>
    </row>
    <row r="4" spans="1:4" x14ac:dyDescent="0.35">
      <c r="A4">
        <v>3</v>
      </c>
      <c r="B4">
        <v>1.5169999999999999</v>
      </c>
      <c r="C4">
        <v>4.87</v>
      </c>
      <c r="D4" t="s">
        <v>170</v>
      </c>
    </row>
    <row r="5" spans="1:4" x14ac:dyDescent="0.35">
      <c r="A5">
        <v>4</v>
      </c>
      <c r="B5">
        <v>3.4470000000000001</v>
      </c>
      <c r="C5">
        <v>8.51</v>
      </c>
      <c r="D5" t="s">
        <v>170</v>
      </c>
    </row>
    <row r="6" spans="1:4" x14ac:dyDescent="0.35">
      <c r="A6">
        <v>5</v>
      </c>
      <c r="B6">
        <v>0.82499999999999996</v>
      </c>
      <c r="C6">
        <v>2.09</v>
      </c>
      <c r="D6" t="s">
        <v>170</v>
      </c>
    </row>
    <row r="7" spans="1:4" x14ac:dyDescent="0.35">
      <c r="A7">
        <v>6</v>
      </c>
      <c r="B7">
        <v>0.622</v>
      </c>
      <c r="C7">
        <v>0.69</v>
      </c>
      <c r="D7" t="s">
        <v>170</v>
      </c>
    </row>
    <row r="8" spans="1:4" x14ac:dyDescent="0.35">
      <c r="A8">
        <v>7</v>
      </c>
      <c r="B8">
        <v>0.86599999999999999</v>
      </c>
      <c r="C8">
        <v>1.34</v>
      </c>
      <c r="D8" t="s">
        <v>170</v>
      </c>
    </row>
    <row r="9" spans="1:4" x14ac:dyDescent="0.35">
      <c r="A9">
        <v>8</v>
      </c>
      <c r="B9">
        <v>0.26400000000000001</v>
      </c>
      <c r="C9">
        <v>0.79</v>
      </c>
      <c r="D9" t="s">
        <v>170</v>
      </c>
    </row>
    <row r="10" spans="1:4" x14ac:dyDescent="0.35">
      <c r="A10">
        <v>9</v>
      </c>
      <c r="B10">
        <v>1.911</v>
      </c>
      <c r="C10">
        <v>3.86</v>
      </c>
      <c r="D10" t="s">
        <v>170</v>
      </c>
    </row>
    <row r="11" spans="1:4" x14ac:dyDescent="0.35">
      <c r="A11">
        <v>10</v>
      </c>
      <c r="B11">
        <v>2.1120000000000001</v>
      </c>
      <c r="C11">
        <v>5.29</v>
      </c>
      <c r="D11" t="s">
        <v>170</v>
      </c>
    </row>
    <row r="12" spans="1:4" x14ac:dyDescent="0.35">
      <c r="A12">
        <v>11</v>
      </c>
      <c r="B12">
        <v>0.41299999999999998</v>
      </c>
      <c r="C12">
        <v>1.23</v>
      </c>
      <c r="D12" t="s">
        <v>170</v>
      </c>
    </row>
    <row r="13" spans="1:4" x14ac:dyDescent="0.35">
      <c r="A13">
        <v>12</v>
      </c>
      <c r="B13">
        <v>2.91</v>
      </c>
      <c r="C13">
        <v>6.71</v>
      </c>
      <c r="D13" t="s">
        <v>170</v>
      </c>
    </row>
    <row r="14" spans="1:4" x14ac:dyDescent="0.35">
      <c r="A14">
        <v>13</v>
      </c>
      <c r="B14">
        <v>0.63600000000000001</v>
      </c>
      <c r="C14">
        <v>2.1800000000000002</v>
      </c>
      <c r="D14" t="s">
        <v>170</v>
      </c>
    </row>
    <row r="15" spans="1:4" x14ac:dyDescent="0.35">
      <c r="A15">
        <v>14</v>
      </c>
      <c r="B15">
        <v>2.91</v>
      </c>
      <c r="C15">
        <v>8.98</v>
      </c>
      <c r="D15" t="s">
        <v>170</v>
      </c>
    </row>
    <row r="16" spans="1:4" x14ac:dyDescent="0.35">
      <c r="A16">
        <v>15</v>
      </c>
      <c r="B16">
        <v>3.819</v>
      </c>
      <c r="C16">
        <v>9.73</v>
      </c>
      <c r="D16" t="s">
        <v>170</v>
      </c>
    </row>
    <row r="17" spans="1:4" x14ac:dyDescent="0.35">
      <c r="A17">
        <v>16</v>
      </c>
      <c r="B17">
        <v>0.95</v>
      </c>
      <c r="C17">
        <v>2.08</v>
      </c>
      <c r="D17" t="s">
        <v>170</v>
      </c>
    </row>
    <row r="18" spans="1:4" x14ac:dyDescent="0.35">
      <c r="A18">
        <v>17</v>
      </c>
      <c r="B18">
        <v>0.70899999999999996</v>
      </c>
      <c r="C18">
        <v>1.78</v>
      </c>
      <c r="D18" t="s">
        <v>170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L11"/>
  <sheetViews>
    <sheetView workbookViewId="0">
      <selection activeCell="E13" sqref="E13:M14"/>
    </sheetView>
  </sheetViews>
  <sheetFormatPr defaultRowHeight="14.5" x14ac:dyDescent="0.35"/>
  <cols>
    <col min="1" max="1" width="8.1796875" customWidth="1"/>
    <col min="2" max="2" width="27.26953125" style="11" customWidth="1"/>
    <col min="3" max="3" width="25.81640625" customWidth="1"/>
    <col min="4" max="4" width="26.1796875" customWidth="1"/>
    <col min="5" max="5" width="8.81640625" customWidth="1"/>
    <col min="8" max="8" width="8.7265625" customWidth="1"/>
    <col min="9" max="9" width="11.453125" customWidth="1"/>
  </cols>
  <sheetData>
    <row r="1" spans="1:12" x14ac:dyDescent="0.35">
      <c r="E1" s="20" t="s">
        <v>77</v>
      </c>
      <c r="F1" s="20"/>
      <c r="G1" s="20"/>
      <c r="H1" s="20"/>
      <c r="I1" s="20"/>
      <c r="J1" s="20"/>
      <c r="K1" s="20"/>
    </row>
    <row r="2" spans="1:12" s="1" customFormat="1" x14ac:dyDescent="0.35">
      <c r="A2" s="1" t="s">
        <v>80</v>
      </c>
      <c r="B2" s="12" t="s">
        <v>0</v>
      </c>
      <c r="C2" s="1" t="s">
        <v>43</v>
      </c>
      <c r="D2" s="1" t="s">
        <v>63</v>
      </c>
      <c r="E2" s="5" t="s">
        <v>104</v>
      </c>
      <c r="F2" s="5" t="s">
        <v>108</v>
      </c>
      <c r="G2" s="5" t="s">
        <v>106</v>
      </c>
      <c r="H2" s="5" t="s">
        <v>114</v>
      </c>
      <c r="I2" s="5" t="s">
        <v>110</v>
      </c>
      <c r="J2" s="1" t="s">
        <v>115</v>
      </c>
      <c r="K2" s="1" t="s">
        <v>102</v>
      </c>
      <c r="L2" s="1" t="s">
        <v>178</v>
      </c>
    </row>
    <row r="3" spans="1:12" x14ac:dyDescent="0.35">
      <c r="A3" t="s">
        <v>1</v>
      </c>
      <c r="B3" s="11" t="s">
        <v>25</v>
      </c>
      <c r="C3" t="s">
        <v>44</v>
      </c>
      <c r="E3">
        <v>0</v>
      </c>
      <c r="F3">
        <v>10</v>
      </c>
      <c r="G3">
        <v>8</v>
      </c>
      <c r="H3">
        <v>32</v>
      </c>
      <c r="I3">
        <v>10</v>
      </c>
      <c r="J3">
        <v>0</v>
      </c>
      <c r="K3">
        <v>0</v>
      </c>
      <c r="L3">
        <v>0</v>
      </c>
    </row>
    <row r="4" spans="1:12" x14ac:dyDescent="0.35">
      <c r="A4" t="s">
        <v>3</v>
      </c>
      <c r="B4" s="11" t="s">
        <v>27</v>
      </c>
      <c r="C4" t="s">
        <v>46</v>
      </c>
      <c r="E4">
        <v>0</v>
      </c>
      <c r="F4">
        <v>10</v>
      </c>
      <c r="G4">
        <v>9</v>
      </c>
      <c r="H4">
        <v>27</v>
      </c>
      <c r="I4">
        <v>0</v>
      </c>
      <c r="J4">
        <v>0</v>
      </c>
      <c r="K4">
        <v>0</v>
      </c>
      <c r="L4">
        <v>0</v>
      </c>
    </row>
    <row r="5" spans="1:12" x14ac:dyDescent="0.35">
      <c r="A5" t="s">
        <v>5</v>
      </c>
      <c r="B5" s="11" t="s">
        <v>29</v>
      </c>
      <c r="C5" t="s">
        <v>48</v>
      </c>
      <c r="E5">
        <v>5</v>
      </c>
      <c r="F5">
        <v>0</v>
      </c>
      <c r="G5">
        <v>5</v>
      </c>
      <c r="H5">
        <v>21</v>
      </c>
      <c r="I5">
        <v>0</v>
      </c>
      <c r="J5">
        <v>0</v>
      </c>
      <c r="K5">
        <v>0</v>
      </c>
      <c r="L5">
        <v>0</v>
      </c>
    </row>
    <row r="6" spans="1:12" x14ac:dyDescent="0.35">
      <c r="A6" s="2" t="s">
        <v>71</v>
      </c>
      <c r="B6" s="14" t="s">
        <v>70</v>
      </c>
      <c r="C6" s="2" t="s">
        <v>72</v>
      </c>
      <c r="E6">
        <v>0</v>
      </c>
      <c r="F6">
        <v>0</v>
      </c>
      <c r="G6">
        <v>0</v>
      </c>
      <c r="H6">
        <v>26</v>
      </c>
      <c r="I6">
        <v>0</v>
      </c>
      <c r="J6">
        <v>10</v>
      </c>
      <c r="K6">
        <v>0</v>
      </c>
      <c r="L6">
        <v>0</v>
      </c>
    </row>
    <row r="7" spans="1:12" x14ac:dyDescent="0.35">
      <c r="A7" t="s">
        <v>10</v>
      </c>
      <c r="B7" s="11" t="s">
        <v>34</v>
      </c>
      <c r="C7" t="s">
        <v>53</v>
      </c>
      <c r="D7" t="s">
        <v>66</v>
      </c>
      <c r="E7">
        <v>0</v>
      </c>
      <c r="F7">
        <v>4</v>
      </c>
      <c r="G7">
        <v>2</v>
      </c>
      <c r="H7">
        <v>20</v>
      </c>
      <c r="I7">
        <v>0</v>
      </c>
      <c r="J7">
        <v>0</v>
      </c>
      <c r="K7">
        <v>40</v>
      </c>
      <c r="L7">
        <v>0</v>
      </c>
    </row>
    <row r="8" spans="1:12" x14ac:dyDescent="0.35">
      <c r="A8" t="s">
        <v>19</v>
      </c>
      <c r="B8" s="11" t="s">
        <v>79</v>
      </c>
      <c r="C8" t="s">
        <v>59</v>
      </c>
      <c r="E8">
        <v>0</v>
      </c>
      <c r="F8">
        <v>0</v>
      </c>
      <c r="G8">
        <v>2</v>
      </c>
      <c r="H8">
        <v>0</v>
      </c>
      <c r="I8">
        <v>10</v>
      </c>
      <c r="J8">
        <v>0</v>
      </c>
      <c r="K8">
        <v>0</v>
      </c>
      <c r="L8">
        <v>0</v>
      </c>
    </row>
    <row r="9" spans="1:12" x14ac:dyDescent="0.35">
      <c r="A9" t="s">
        <v>23</v>
      </c>
      <c r="B9" s="11" t="s">
        <v>42</v>
      </c>
      <c r="C9" t="s">
        <v>61</v>
      </c>
      <c r="E9">
        <v>0</v>
      </c>
      <c r="F9">
        <v>7</v>
      </c>
      <c r="G9">
        <v>4</v>
      </c>
      <c r="H9">
        <v>0</v>
      </c>
      <c r="I9">
        <v>0</v>
      </c>
      <c r="J9">
        <v>0</v>
      </c>
      <c r="K9">
        <v>0</v>
      </c>
      <c r="L9">
        <v>0</v>
      </c>
    </row>
    <row r="10" spans="1:12" x14ac:dyDescent="0.35">
      <c r="A10" t="s">
        <v>21</v>
      </c>
      <c r="B10" s="11" t="s">
        <v>132</v>
      </c>
      <c r="C10" t="s">
        <v>133</v>
      </c>
      <c r="E10">
        <v>1</v>
      </c>
      <c r="F10">
        <v>10</v>
      </c>
      <c r="G10">
        <v>8</v>
      </c>
      <c r="H10">
        <v>26</v>
      </c>
      <c r="I10">
        <v>0</v>
      </c>
      <c r="J10">
        <v>0</v>
      </c>
      <c r="K10">
        <v>0</v>
      </c>
      <c r="L10">
        <v>0</v>
      </c>
    </row>
    <row r="11" spans="1:12" x14ac:dyDescent="0.35">
      <c r="A11" t="s">
        <v>170</v>
      </c>
      <c r="B11" s="19" t="s">
        <v>171</v>
      </c>
      <c r="C11" t="s">
        <v>177</v>
      </c>
      <c r="D11" s="19" t="s">
        <v>179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17</v>
      </c>
    </row>
  </sheetData>
  <mergeCells count="1">
    <mergeCell ref="E1:K1"/>
  </mergeCells>
  <hyperlinks>
    <hyperlink ref="B6" r:id="rId1" tooltip="Taxon Report" display="https://www.calflora.org/cgi-bin/species_query.cgi?where-calrecnum=1834" xr:uid="{00000000-0004-0000-0300-000000000000}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B9"/>
  <sheetViews>
    <sheetView workbookViewId="0">
      <selection activeCell="A10" sqref="A10"/>
    </sheetView>
  </sheetViews>
  <sheetFormatPr defaultRowHeight="14.5" x14ac:dyDescent="0.35"/>
  <sheetData>
    <row r="1" spans="1:2" x14ac:dyDescent="0.35">
      <c r="A1" t="s">
        <v>98</v>
      </c>
      <c r="B1" t="s">
        <v>99</v>
      </c>
    </row>
    <row r="2" spans="1:2" x14ac:dyDescent="0.35">
      <c r="A2" t="s">
        <v>101</v>
      </c>
      <c r="B2" t="s">
        <v>100</v>
      </c>
    </row>
    <row r="3" spans="1:2" x14ac:dyDescent="0.35">
      <c r="A3" t="s">
        <v>102</v>
      </c>
      <c r="B3" t="s">
        <v>103</v>
      </c>
    </row>
    <row r="4" spans="1:2" x14ac:dyDescent="0.35">
      <c r="A4" t="s">
        <v>104</v>
      </c>
      <c r="B4" t="s">
        <v>105</v>
      </c>
    </row>
    <row r="5" spans="1:2" x14ac:dyDescent="0.35">
      <c r="A5" t="s">
        <v>106</v>
      </c>
      <c r="B5" t="s">
        <v>107</v>
      </c>
    </row>
    <row r="6" spans="1:2" x14ac:dyDescent="0.35">
      <c r="A6" t="s">
        <v>108</v>
      </c>
      <c r="B6" t="s">
        <v>109</v>
      </c>
    </row>
    <row r="7" spans="1:2" x14ac:dyDescent="0.35">
      <c r="A7" t="s">
        <v>110</v>
      </c>
      <c r="B7" t="s">
        <v>111</v>
      </c>
    </row>
    <row r="8" spans="1:2" x14ac:dyDescent="0.35">
      <c r="A8" t="s">
        <v>112</v>
      </c>
      <c r="B8" t="s">
        <v>113</v>
      </c>
    </row>
    <row r="9" spans="1:2" x14ac:dyDescent="0.35">
      <c r="A9" t="s">
        <v>180</v>
      </c>
      <c r="B9" t="s">
        <v>181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PVT</vt:lpstr>
      <vt:lpstr>Species list </vt:lpstr>
      <vt:lpstr>Spp_LUT</vt:lpstr>
      <vt:lpstr>NODE data</vt:lpstr>
      <vt:lpstr>Site list</vt:lpstr>
      <vt:lpstr>Site codes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JJB</dc:creator>
  <cp:lastModifiedBy>John Battles</cp:lastModifiedBy>
  <cp:lastPrinted>2020-06-09T17:02:25Z</cp:lastPrinted>
  <dcterms:created xsi:type="dcterms:W3CDTF">2020-06-09T16:19:50Z</dcterms:created>
  <dcterms:modified xsi:type="dcterms:W3CDTF">2024-12-20T14:11:30Z</dcterms:modified>
</cp:coreProperties>
</file>